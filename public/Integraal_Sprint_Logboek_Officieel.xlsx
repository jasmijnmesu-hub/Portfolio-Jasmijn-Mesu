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smijnmesu/Desktop/"/>
    </mc:Choice>
  </mc:AlternateContent>
  <xr:revisionPtr revIDLastSave="0" documentId="13_ncr:1_{441C0961-207D-5247-B138-E2509004DABC}" xr6:coauthVersionLast="47" xr6:coauthVersionMax="47" xr10:uidLastSave="{00000000-0000-0000-0000-000000000000}"/>
  <bookViews>
    <workbookView xWindow="3820" yWindow="760" windowWidth="25580" windowHeight="17360" tabRatio="500" xr2:uid="{00000000-000D-0000-FFFF-FFFF00000000}"/>
  </bookViews>
  <sheets>
    <sheet name="Dashboard" sheetId="1" r:id="rId1"/>
    <sheet name="Logboek" sheetId="2" r:id="rId2"/>
    <sheet name="Lijsten"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F7" i="1"/>
  <c r="E7" i="1"/>
  <c r="B7" i="1"/>
  <c r="K6" i="1"/>
  <c r="J6" i="1"/>
  <c r="I6" i="1"/>
  <c r="H6" i="1"/>
  <c r="G6" i="1"/>
  <c r="F6" i="1"/>
  <c r="E6" i="1"/>
  <c r="D6" i="1"/>
  <c r="D7" i="1" s="1"/>
  <c r="C6" i="1"/>
  <c r="K5" i="1"/>
  <c r="J5" i="1"/>
  <c r="I5" i="1"/>
  <c r="H5" i="1"/>
  <c r="G5" i="1"/>
  <c r="F5" i="1"/>
  <c r="E5" i="1"/>
  <c r="D5" i="1"/>
  <c r="C5" i="1"/>
  <c r="K4" i="1"/>
  <c r="C4" i="1" s="1"/>
  <c r="J4" i="1"/>
  <c r="I4" i="1"/>
  <c r="H4" i="1"/>
  <c r="G4" i="1"/>
  <c r="F4" i="1"/>
  <c r="E4" i="1"/>
  <c r="D4" i="1"/>
  <c r="K3" i="1"/>
  <c r="J3" i="1"/>
  <c r="I3" i="1"/>
  <c r="C3" i="1" s="1"/>
  <c r="H3" i="1"/>
  <c r="G3" i="1"/>
  <c r="F3" i="1"/>
  <c r="E3" i="1"/>
  <c r="D3" i="1"/>
  <c r="K2" i="1"/>
  <c r="J2" i="1"/>
  <c r="I2" i="1"/>
  <c r="H2" i="1"/>
  <c r="H7" i="1" s="1"/>
  <c r="G2" i="1"/>
  <c r="F2" i="1"/>
  <c r="E2" i="1"/>
  <c r="D2" i="1"/>
  <c r="C2" i="1" s="1"/>
  <c r="I7" i="1" l="1"/>
  <c r="K7" i="1"/>
  <c r="J7" i="1"/>
  <c r="C7" i="1"/>
</calcChain>
</file>

<file path=xl/sharedStrings.xml><?xml version="1.0" encoding="utf-8"?>
<sst xmlns="http://schemas.openxmlformats.org/spreadsheetml/2006/main" count="483" uniqueCount="131">
  <si>
    <t>LU</t>
  </si>
  <si>
    <t>Doel</t>
  </si>
  <si>
    <t>Behaald</t>
  </si>
  <si>
    <t>Sprint 1</t>
  </si>
  <si>
    <t>Sprint 2</t>
  </si>
  <si>
    <t>Sprint 3</t>
  </si>
  <si>
    <t>Sprint 4</t>
  </si>
  <si>
    <t>Sprint 5</t>
  </si>
  <si>
    <t>Sprint 6</t>
  </si>
  <si>
    <t>Sprint 7</t>
  </si>
  <si>
    <t>Sprint 8</t>
  </si>
  <si>
    <t>LU 1: Impact</t>
  </si>
  <si>
    <t>LU 2: Oplossing</t>
  </si>
  <si>
    <t>LU 3: Ethiek</t>
  </si>
  <si>
    <t>LU 4: Tools</t>
  </si>
  <si>
    <t>LU 5: Zelfsturing</t>
  </si>
  <si>
    <t>Totaal</t>
  </si>
  <si>
    <t xml:space="preserve">Portfolio </t>
  </si>
  <si>
    <t>https://persoonlijk-portfolio.vercel.app/</t>
  </si>
  <si>
    <t>SPRINT 1</t>
  </si>
  <si>
    <t xml:space="preserve">1. PLANNING (User Stories) </t>
  </si>
  <si>
    <t>Plannen met je plannings Agent</t>
  </si>
  <si>
    <t>Story</t>
  </si>
  <si>
    <t>Story Omschrijving</t>
  </si>
  <si>
    <t>Acceptatie Criteria</t>
  </si>
  <si>
    <t>Kwaliteitscriteria</t>
  </si>
  <si>
    <t>RS</t>
  </si>
  <si>
    <t>Als aankomend project- en organisatieprofessional,
wil ik onderzoeken welke AI-toepassingen de meeste impact hebben op organiseren, coördineren en samenwerken,
zodat ik weet hoe mijn toekomstige rol, taken en vaardigheden veranderen.</t>
  </si>
  <si>
    <t>1. Prompting: Een tweetrapsaanpak uitvoeren: eerst bronnen zoeken via Perplexity (minstens 4 typen), daarna via een deep-research-prompt het verslag genereren met CoT en bronvermelding.
2. Verslag: Een compleet onderzoeksverslag opleveren met vaste onderdelen: samenvatting, inleiding, methode, resultaten, risico's, conclusie en aanbevelingen.
3. Methode: Kwalitatief literatuuronderzoek doen met narratieve synthese op basis van 10 bronnen.
4. Presentatie: De belangrijkste inzichten presenteren tijdens de Show &amp; Grow.</t>
  </si>
  <si>
    <t>1. Promptopbouw: Prompts bevatten vooraf een duidelijke rol, context, randvoorwaarden en gewenst format.
2. Bronnen: Minimaal 10 bronnen uit minstens 4 invalshoeken; gecheckt en gecorrigeerd volgens APA7-normen.
3. Toolkeuze: Bewuste keuze vastleggen voor OpenAI (onderzoek/synthese) en Claude (vormgeving/structuur).
4. Triangulatie: Bevindingen vergelijken tussen modellen (Gemini en OpenAI) en noteren waarom bepaalde output niet bruikbaar is.
5. Kritische blik: Conclusie onderbouwen met risico's (betrouwbaarheid en afhankelijkheid) en AI positioneren als assistent, niet als vervanging.</t>
  </si>
  <si>
    <t>US</t>
  </si>
  <si>
    <t>Als student in de minor Futureproof met AI,
wil ik mijn eigen portfoliowebsite bouwen en online publiceren,
zodat coaches en medestudenten direct zien wie ik ben en hoe ik aan de leeruitkomsten werk.</t>
  </si>
  <si>
    <t>1. Homepage: Toont mijn profiel, de context van de minor en mijn focus op organiseren en samenwerken.
2. Over mij: Bevat een profielfoto, achtergrond, studieloopbaan en interesses (geen placeholderteksten).
3. Sprints &amp; bewijzen: Bevat een actueel sprintoverzicht en een directe link naar het onderzoeksverslag (RS), gekoppeld aan LU1 en LU4.
4. Navigatie: Menu werkt soepel tussen Home, Over mij, Leeruitkomsten, Sprints, Bewijzen en Contact.
5. Livegang: De website is publiek bereikbaar via een werkende Vercel-link.</t>
  </si>
  <si>
    <t>1. Responsiveness: Lay-out werkt goed op zowel iPhone als desktop zonder afsnijdingen of horizontaal scrollen.
2. Code &amp; Deployment: Codebeheer via GitHub en automatische livegang via Vercel geregeld.
3. Taal &amp; links: Teksten zijn foutloos geschreven; alle knoppen en links werken zonder foutmeldingen.
4. Vormgeving: Rustige, warme kleuren en typografie die een professioneel geheel vormen en afwijken van standaard AI-templates.
5. Transparantie: Duidelijk vermeld waar AI is ingezet en wat eigen werk is.</t>
  </si>
  <si>
    <t>LS</t>
  </si>
  <si>
    <t>Als student in de minor Futureproof met AI,
wil ik leren werken met Claude Code, prompting en vibe-coding via GitHub en Vercel om een normchecker-prototype te bouwen,
zodat ik ontdek wat AI al weet over ISO- en NEN-normen en zelfstandig een interactief frontend-prototype online kan publiceren.</t>
  </si>
  <si>
    <t>1. Kennisverkenning: Via gerichte prompts testen wat Claude Code inhoudelijk weet over NEN- en ISO-normen en welke structuur het model voorstelt.
2. Dashboard-prototype: Een voorbeeld-dashboard (normchecker) bouwen op basis van een fictieve persona om de werking van normcontroles te visualiseren.
3. Deployment: De applicatie via Claude Code en GitHub live publiceren op een werkende Vercel-omgeving (normchecker.vercel.app).</t>
  </si>
  <si>
    <t>1. Promptstructuur: Prompts aan Claude Code zijn voorzien van duidelijke rolinstructies, domeincontext (bouw/normen) en gewenste output-structuren.
2. Inhoudelijke toetsing: Controleren of de voorgestelde NEN/ISO-structuren door Claude Code inhoudelijk kloppen en geen hallucinaties bevatten.
3. Pipeline-stabiliteit: De koppeling tussen lokale bestanden, GitHub-repository en Vercel werkt zonder build-fouten.</t>
  </si>
  <si>
    <t>2. FEEDBACK (Ontvangen van anderen)</t>
  </si>
  <si>
    <t>Datum</t>
  </si>
  <si>
    <t>Van wie</t>
  </si>
  <si>
    <t>Feedback</t>
  </si>
  <si>
    <t>Jouw actie</t>
  </si>
  <si>
    <t>3. ZELFEVALUATIE (Mastery)</t>
  </si>
  <si>
    <t>Leeruitkomst</t>
  </si>
  <si>
    <t>Niveau</t>
  </si>
  <si>
    <t>Argumentatie en bewijs</t>
  </si>
  <si>
    <t>LU 1</t>
  </si>
  <si>
    <t>AI-impact op de beroepspraktijk analyseren en evalueren</t>
  </si>
  <si>
    <t>V</t>
  </si>
  <si>
    <t>In mijn onderzoeksverslag "De toekomst van de Project- en organisatieprofessional in het tijdperk van generatieve AI" onderzocht ik welke AI-toepassingen effect hebben op organiseren, coördineren en samenwerken. Ik werkte met tien bronnen uit vier verschillende soorten bronnen en liet het verslag schrijven met OpenAI Deep Research, met aparte hoofdstukken over taakverschuiving, nieuwe vaardigheden en risico's. Dat laat zien dat ik niet alleen weet wát er verandert in mijn vakgebied, maar ook welke vaardigheden ik daardoor zelf nodig ga hebben.</t>
  </si>
  <si>
    <t>LU 2</t>
  </si>
  <si>
    <t>Praktijkgerichte AI oplossing ontwerpen, realiseren en presenteren</t>
  </si>
  <si>
    <t>N.v.t</t>
  </si>
  <si>
    <t>LU 3</t>
  </si>
  <si>
    <t>Ethiek en verantwoordelijk AI-gebruik beoordelen</t>
  </si>
  <si>
    <t>-</t>
  </si>
  <si>
    <t>LU 4</t>
  </si>
  <si>
    <t>AI Tools en technieken gebruiken</t>
  </si>
  <si>
    <t>Bij elk van de drie projecten koos ik een andere tool voor een andere taak, in plaats van steeds hetzelfde model te gebruiken. Voor het onderzoek gebruikte ik Perplexity om bronnen te zoeken, OpenAI Deep Research om te schrijven, Gemini om te vergelijken en Claude om de tekst af te werken. Voor de portfoliowebsite gebruikte ik Google AI Studio om snel te proberen, Claude om de code te verbeteren, en Visual Studio Code met GitHub en Vercel om de site echt te bouwen en live te zetten. Voor NormChecker gebruikte ik Claude Code om te testen wat het al wist over NEN- en ISO-bouwnormen, en weer GitHub en Vercel om het live te zetten. Drie projecten, drie keer een andere combinatie van tools, steeds gekozen op basis van wat de taak nodig had.</t>
  </si>
  <si>
    <t>LU 5</t>
  </si>
  <si>
    <t>Zelfstandig en zelfsturend werken</t>
  </si>
  <si>
    <t>Bij het onderzoek besloot ik zelf om de uitkomst van Gemini te vergelijken met die van OpenAI, en verwierp ik die bewust toen bleek dat de kwaliteit niet goed genoeg was. Ook liep ik zelf de bronnenlijst na en verbeterde ik drie fouten. Bij de portfoliowebsite koos ik zelf mijn eigen leerpad in tools: eerst Google AI Studio om te verkennen, dan Claude voor de stijl, en pas daarna Visual Studio Code, GitHub en Vercel voor echt beheer. Ik testte de site ook zelf op mobiel en desktop voordat ik hem als af beschouwde. Bij NormChecker koos ik zelf het onderwerp, gebaseerd op iets wat ik in de praktijk was tegengekomen, en besloot ik zelf om het klein te houden als oefening in plaats van meteen een af product na te streven. In alle drie de projecten stelde ik dus zelf de koers, zonder dat iemand mij een vast stappenplan gaf.</t>
  </si>
  <si>
    <t>4. REFLECTIE</t>
  </si>
  <si>
    <t>Wat heb je geleerd?</t>
  </si>
  <si>
    <t>Wat behoud je?</t>
  </si>
  <si>
    <t>Wat ga je anders doen?</t>
  </si>
  <si>
    <t>Websites zoals NEN Connect bevatten veel juridische regels. Daardoor bleek mijn idee niet haalbaar. Na sparren met Jan heb ik het losgelaten. Ik heb geleerd dat je soms hele leuke ideeën hebt, maar dat je sommige dingen moet loslaten omdat ze niet haalbaar zijn.</t>
  </si>
  <si>
    <t>Sparren met mijn coach over mijn ideeën en kritisch blijven op wat bronnen en AI voorstellen.</t>
  </si>
  <si>
    <t>Bij een nieuw idee eerst de haalbaarheid uitzoeken (juridisch en welke informatie ik mag gebruiken), voordat ik veel tijd in het uitwerken steek. Een idee sneller loslaten als het niet kan.</t>
  </si>
  <si>
    <t>Ik heb via Jan contact opgenomen met Dotslash om meer uit mijn minor te halen en te vragen naar een opdracht. Ik heb geleerd dat je moet durven vragen.</t>
  </si>
  <si>
    <t>Zelf contact zoeken en vragen stellen.</t>
  </si>
  <si>
    <t>Eerder en vaker zelf vragen stellen aan coaches en organisaties, in plaats van te wachten op een opdracht.</t>
  </si>
  <si>
    <t>AI wordt in mijn beroep steeds belangrijker en iedereen moet het leren. Het fysieke contact met mensen blijft belangrijk en wordt misschien nog belangrijker.</t>
  </si>
  <si>
    <t>AI gebruiken als assistent en niet als vervanging, en bewust kiezen welke tool bij welke taak past.</t>
  </si>
  <si>
    <t>Naast AI-vaardigheden ook blijven ontwikkelen wat AI niet kan overnemen, zoals samenwerken en persoonlijk contact.</t>
  </si>
  <si>
    <t>SPRINT 2</t>
  </si>
  <si>
    <t>1. PLANNING (User Stories)</t>
  </si>
  <si>
    <t>Als student in de minor Futureproof met AI,
wil ik de basisprincipes en architecturen van AI-agents leren via DataCamp,
zodat ik kan onderbouwen of en hoe een agentic aanpak waarde toevoegt aan mijn specifieke minoroplossing.</t>
  </si>
  <si>
    <t xml:space="preserve">1. DataCamp-cursus "Introduction to AI Agents" succesvol afgerond, inclusief certificaat/bewijs van afronding in logboek.
2. Een geschreven samenvatting waar de stof besproken wordt en je ten alle tijden de stof terug kan vinden
3. De samenvatting is toegevoegd aan mijn portfolio om deze altijd bij de hand te hebben. </t>
  </si>
  <si>
    <t>1. Betrouwbaarheid &amp; herkomst: gebruik van actuele, gereputeerde bronnen en correcte bronvermelding.
2. Diepgang &amp; onderbouwing: helder onderscheid gemaakt tussen eenvoudige prompt-chains/workflows en daadwerkelijke autonome agents.
3. Toepasbaarheid: de vertaalslag sluit direct aan op de context van het eigen projectportfolio.</t>
  </si>
  <si>
    <t>Als AI-projectmanager in opleiding,
wil ik de bedrijfsactiviteiten, laadinfrastructuur-diensten en potentiële AI-kansen van Blue Current onderzoeken,
zodat ik tijdens het eerste intakegesprek direct gerichte AI-use cases kan pitchen en een scherpe minoropdracht kan formuleren (Leeruitkomst: Impact &amp; Oplossing).</t>
  </si>
  <si>
    <t>1. Een compact onderzoeksverslag met daarin de kernactiviteiten en propositie van Blue Current, en de huidige technologie- en laadinfrastructuurcontext.
2. Minimaal 3 concrete AI-kansen/use cases uitgewerkt (bijv. slim laden/netcongestie, voorspellend onderhoud, geautomatiseerde support).
3. Een gestructureerde vragenlijst (5–8 vragen) voor het intakegesprek met Blue Current.</t>
  </si>
  <si>
    <t>1. Bronnen &amp; herkomst: relevante openbare bronnen gebruikt (website, nieuws, LinkedIn) met expliciete bronvermelding.
2. Triangulatie: deskresearch gecombineerd met gerichte analyse via minimaal één LLM met een gestructureerde prompt-opbouw.
3. Relevantie &amp; haalbaarheid: de aangedragen AI-kansen sluiten realistisch aan op de context van een minorproject van ca. 4 maanden.</t>
  </si>
  <si>
    <t>Als student van de minor Future Proof met AI,
wil ik het eerste werkende prototype van de vernieuwde website en de gebruikte AI-systemen presenteren aan Ronald Boiten,
zodat we kunnen toetsen of het ontwerp en de kleuren aansluiten bij zijn grafische identiteit en we duidelijke input hebben voor Sprint 3.</t>
  </si>
  <si>
    <t>1. Het prototype is live en toegankelijk via de Vercel-link.
2. De specifieke grafische stijl en de kleurstelling van Ronald zijn herkenbaar doorgevoerd op de website.
3. De boekprojecten zijn visueel representatief weergegeven.
4. De afspraak en presentatie op dinsdag 27 september zijn uitgevoerd.
5. De feedback van Ronald is gedocumenteerd als input voor Sprint 3.</t>
  </si>
  <si>
    <t>1. Er is een heldere toelichting gegeven over de gebruikte AI-tools en -systemen.
2. De Vercel-link werkt technisch goed en is responsive op zowel mobiel als desktop.
3. De opzet en code van de website zijn netjes gestructureerd en onderhoudbaar voor verdere uitbreiding in Sprint 3.</t>
  </si>
  <si>
    <t xml:space="preserve">Shahmeer </t>
  </si>
  <si>
    <t>Zoek uit wat je daarvoor kan doen met AI. Stuur nog een mail naar Norm. Leer je basis via datacamp. Onderzoek of de website echt nodig is om te verbeteren</t>
  </si>
  <si>
    <t>Op advies ga ik een mail sturen en kijken of ik reactie kan ontvangen. Verder zorg ik dat ik mij nog meer ga verdiepen door middel van Datacamp</t>
  </si>
  <si>
    <t>Ronald Boiten</t>
  </si>
  <si>
    <t>Ik vind het fijn dat mijn werk nu veel duidelijker naar voren komt.De fotografie mag inderdaad groter, maar niet te gelikt. Hou de teksten kort. Ik wil wel mijn hele oeuvre kunnen blijven tonen.De typografie moet echt kloppen.</t>
  </si>
  <si>
    <t>In de volgende sprint staat gebruikersvalidatie centraal. Ik test de eerste redesign met de eigenaar, verwerk feedback op visuele identiteit, content en gebruikservaring en werk de homepage responsive en inhoudelijk correct uit. Pas na goedkeuring van de visuele frontend start ik met de technische beheeromgeving en backend.</t>
  </si>
  <si>
    <t>In Sprint 2 leverde ik het eerste werkende prototype van mijn vernieuwde portfoliowebsite op en presenteerde ik dit, samen met de gebruikte AI-systemen, aan Ronald Boiten. Ik liet zien hoe zijn grafische stijl en kleurgebruik in het ontwerp waren verwerkt en welke AI-tools ik daarvoor had ingezet. Ronald gaf concrete feedback op de fotografie, de teksten en de typografie, die ik direct heb vertaald naar aanpassingen voor Sprint 3. Daarmee heb ik niet alleen een praktijkgerichte AI-oplossing gerealiseerd, maar deze ook daadwerkelijk gepresenteerd aan een echte opdrachtgever en verwerkt in een concreet vervolgplan.</t>
  </si>
  <si>
    <t>Ook in Sprint 2 koos ik per taak een andere tool. Voor de Learning Story rondom AI-agents volgde ik de DataCamp-cursus "Introduction to AI Agents" en vergeleek ik een agentic aanpak met mijn huidige werkwijze. Voor het onderzoek naar Blue Current combineerde ik deskresearch met een LLM om gerichte AI-kansen te formuleren voor het intakegesprek. Voor het prototype van de portfoliowebsite gebruikte ik opnieuw Visual Studio Code, GitHub en Vercel om de website live te zetten, en liet ik het resultaat beoordelen door Ronald Boiten. Zo zette ik per onderdeel bewust de tool in die het beste bij de taak paste.</t>
  </si>
  <si>
    <t>Ik stuurde Sprint 2 grotendeels zelf aan. Ik koos zelf de DataCamp-cursus om mijn kennis over AI-agents te verdiepen, plande zelf het onderzoek naar Blue Current en de bijbehorende vragenlijst, en regelde zelfstandig de afspraak met Ronald Boiten om het prototype te bespreken. Na de feedback van Shahmeer en Ronald bepaalde ik zelf mijn vervolgstappen: eerst gebruikersvalidatie van het ontwerp, daarna pas de technische beheeromgeving. Ik hield dus zelf overzicht over mijn planning en stuurde bij op basis van de feedback die ik kreeg, zonder dat iemand mij een vast stappenplan gaf.</t>
  </si>
  <si>
    <t>AI-agents zijn heel belangrijk en er valt heel veel over te leren. Ik heb de basis geleerd via DataCamp, maar ik heb het idee dat ik er nog lang niet alles uit heb gehaald.</t>
  </si>
  <si>
    <t>Eerst de basis leren via een cursus (DataCamp) voordat ik iets ga bouwen.</t>
  </si>
  <si>
    <t>Mij verder verdiepen in AI-agents en uitzoeken wat ik in mijn eigen opdracht kan gebruiken. De keuze voor een agent-aanpak onderbouwen met een aparte Research Story.</t>
  </si>
  <si>
    <t>Het is belangrijk om goed contact te onderhouden met je opdrachtgever en hem mee te nemen in alle stappen. Zo krijg je het mooiste resultaat. De feedback van Ronald op de fotografie, de teksten en de typografie maakte mijn ontwerp beter.</t>
  </si>
  <si>
    <t>Mijn opdrachtgever bij elke stap betrekken, zijn feedback vastleggen en het ontwerp laten beoordelen voordat ik de technische kant bouw.</t>
  </si>
  <si>
    <t>Eerder en vaker afstemmen met Ronald, zodat verbeterpunten eerder zichtbaar zijn.</t>
  </si>
  <si>
    <t>SPRINT 3</t>
  </si>
  <si>
    <t>Als &lt; &gt; ,wil ik &lt; &gt; ,zodat &lt; &gt;</t>
  </si>
  <si>
    <t xml:space="preserve">1. 
2. 
3. </t>
  </si>
  <si>
    <t>SPRINT 4</t>
  </si>
  <si>
    <t>SPRINT 5</t>
  </si>
  <si>
    <t>SPRINT 6</t>
  </si>
  <si>
    <t>SPRINT 7</t>
  </si>
  <si>
    <t>SPRINT 8</t>
  </si>
  <si>
    <t>O</t>
  </si>
  <si>
    <t>1. Masterprompt: Een uitgebreide prompt met een vaste indeling van twaalf hoofdstukken, cover en samenvatting.
2. Proefeditie: Een volledig magazine als HTML-mail over de periode 06-10 t/m 12-10-2026.
3. Ontvangst: De mail is getest in Gmail op iPhone op leesbaarheid en volledigheid.
4. Workflow: Een stappenplan met bronnen, taalmodel en verzending.</t>
  </si>
  <si>
    <t>1. Promptstructuur: De prompt bevat een duidelijke rol, context, stappen, gewenst format en eisen.
2. Verificatie: Links en feiten zijn gecontroleerd en gevonden fouten zijn vastgelegd.
3. Transparantie: Duidelijk vermeld wat AI deed, wat eigen werk is en wat de grenzen zijn.
4. E-mailkwaliteit: E-mailveilige HTML die onder de Gmail-limiet blijft.
5. Herbruikbaarheid: Prompt en proces zijn over te zetten naar Make of n8n.</t>
  </si>
  <si>
    <t>1. Website: Versie 3 is live en bereikbaar via een link.
2. Webshop: Winkelwagen, prijzen, bestelknoppen en verkoopteksten zijn verwijderd.
3. Portfolio: Het kopje "Over mij" is verwijderd en zijn werk staat centraal.
4. Afbeeldingen: Uitsneden en verhoudingen zijn aangepast, zodat zijn ontwerpen goed zichtbaar zijn.
5. Mobiel: Het menu werkt, teksten zijn leesbaar en er is geen horizontaal scrollen.
6. Review: De website en het gebruik ervan zijn samen met Ronald doorgenomen en zijn feedback is vastgelegd.</t>
  </si>
  <si>
    <t>1. Stijlconsistentie: Typografie en marges sluiten op elkaar aan en lettertype en logo van Ronald zijn behouden.
2. Afbeeldingskwaliteit: Afbeeldingen zijn scherp, niet vervormd en geschikt voor het web.
3. Bruikbaarheid: Zijn werk is vanaf de homepage in maximaal 1 klik bereikbaar.
4. Leesbaarheid: Contrast en tekstgrootte zijn op mobiel goed.</t>
  </si>
  <si>
    <t>1. Vergelijking: Een tabel met minimaal 5 cursussen van minimaal 3 aanbieders.
2. Begrippen: Uitleg van het verschil tussen deelnamebewijs, badge, certificaat en officiële certificering.
3. Selectie: Een onderbouwde top 3 van cursussen die ik ga volgen.
4. Verslag en presentatie: Een kort onderzoeksverslag, gepresenteerd tijdens de Show &amp; Grow.</t>
  </si>
  <si>
    <t>1. Criteria: Een vooraf vastgestelde matrix (relevantie, erkenning, kosten, tijd, niveau, bewijs van afronding).
2. Triangulatie: AI-onderzoek is gecontroleerd op de officiële cursuspagina's.
3. Transparantie: Gebruikte LLM's en prompts zijn vastgelegd in een bijlage.
4. Bronvermelding: Bronnen zijn gecontroleerd en genoteerd volgens APA 7.</t>
  </si>
  <si>
    <t>Suzanne Koppenhol</t>
  </si>
  <si>
    <t>Ik heb mijn AI-agent (The Career Brief) getest en besproken met Suzanne Koppenhol. Zij heeft meerdere ervaringen met agents. Haar advies: om de agent echt goed te laten werken, is het verstandig om hem uit te breiden in Make of n8n, eventueel met een API-koppeling.</t>
  </si>
  <si>
    <t>Ik neem dit advies mee naar sprint 4 en ga verder met Make of n8n en API-koppelingen.</t>
  </si>
  <si>
    <t>Met The Career Brief heb ik onderzocht welke AI-ontwikkelingen invloed hebben op mijn toekomstige werk, bijvoorbeeld binnen projectmanagement, consultancy en business. Ik heb onderzocht welke onderwerpen relevant zijn en hoe AI het werk binnen organisaties verandert. Daarnaast heb ik onderzoek gedaan naar gratis AI-cursussen en certificaten om te bepalen welke vaardigheden ik zelf verder wil ontwikkelen. Hieruit concludeer ik dat AI-agents en automatisering voor mij belangrijke vaardigheden worden, omdat een agent al een groot deel van het onderzoekswerk kan overnemen. Daarom kies ik cursussen die hierop aansluiten.</t>
  </si>
  <si>
    <t>Ik heb The Career Brief ontwikkeld: een AI-gestuurd weekmagazine dat nieuws onderzoekt en verwerkt in twaalf hoofdstukken. Ik heb de inhoud, schrijfstijl en vormgeving uitgewerkt en verschillende versies getest. De automatische verzending via Gmail werkt nog niet volledig. Daarnaast heb ik de website van Ronald Boiten verbeterd. Samen met hem heb ik de website doorgenomen, de winkelwagen verwijderd en de vormgeving meer op zijn werk afgestemd. Beide oplossingen presenteer ik tijdens het Show &amp; Grow-moment van deze sprint.</t>
  </si>
  <si>
    <t>Bij The Career Brief heb ik aandacht besteed aan betrouwbare bronnen, het controleren van informatie en het verantwoord gebruiken van afbeeldingen. Ik heb hiervoor instructies opgenomen in mijn prompt. Het daadwerkelijk testen en beoordelen hiervan wil ik in een volgende sprint verder oppakken.</t>
  </si>
  <si>
    <t>Voor de website van Ronald heb ik gewerkt met Claude Code en Visual Studio Code. Bij The Career Brief heb ik ChatGPT gebruikt om een uitgebreide masterprompt te ontwikkelen, taken in te plannen en nieuwsbrieven met HTML-opmaak via Gmail te testen. Daarbij ontdekte ik dat automatische verzending aanvullende koppelingen vraagt. Daarom ben ik mij ook gaan verdiepen in Make, n8n en API's.</t>
  </si>
  <si>
    <t>Vanuit mijn eigen interesse om wekelijks op de hoogte te blijven van ontwikkelingen heb ik The Career Brief bedacht. Ik heb zelfstandig onderzocht hoe ik dit kon realiseren en de nieuwsbrief meerdere keren aangepast op basis van mijn testresultaten. Ook heb ik feedback gevraagd aan Suzanne Koppenhol, die ervaring heeft met AI-agents. Haar advies om met Make of n8n en API-koppelingen verder te werken neem ik mee naar sprint 4.</t>
  </si>
  <si>
    <t>Als toekomstig project- en organisatieprofessional,
wil ik een AI-workflow ontwikkelen die wekelijks zelfstandig actuele ontwikkelingen onderzoekt, betrouwbare bronnen selecteert en deze verwerkt tot een persoonlijk weekmagazine (The Career Brief), met twaalf vaste hoofdstukken, uitgebreide artikelen en een professionele opmaak,
zodat ik op de hoogte blijf van ontwikkelingen binnen AI, business en mijn toekomstige werkveld en leer hoe ik AI-agents en automatisering kan inzetten om informatie te verzamelen, te verwerken en automatisch via Gmail te versturen.</t>
  </si>
  <si>
    <t>Als webbouwer,
wil ik de bestaande website van Ronald Boiten verder ontwikkelen tot een overzichtelijke en professionele portfoliowebsite, waarbij zijn ontwerpen centraal staan en zijn persoonlijke stijl beter terugkomt,
zodat bezoekers een goed beeld krijgen van zijn werk en de website aansluit bij hoe Ronald zichzelf en zijn projecten wil presenteren.</t>
  </si>
  <si>
    <t>Als student van de minor Futureproof met AI,
wil ik onderzoeken welke gratis AI-cursussen en certificaten van erkende aanbieders aansluiten bij mijn interesses en toekomstige loopbaan,
zodat ik een bewuste keuze kan maken over welke kennis en vaardigheden ik verder wil ontwikkelen en hoe ik hiermee mijn cv en LinkedIn-profiel kan versterken.</t>
  </si>
  <si>
    <t>Deze sprint heb ik geleerd dat het ontwikkelen van een AI-toepassing verder gaat dan alleen een goede prompt schrijven. Bij The Career Brief ontdekte ik dat er aanvullende koppelingen nodig zijn om een nieuwsbrief volledig automatisch te versturen. Ook heb ik geleerd hoe ik AI kan gebruiken om een website te verbeteren op basis van feedback van een opdrachtgever. Door mijn onderzoek naar AI-cursussen heb ik daarnaast meer inzicht gekregen in welke vaardigheden ik zelf wil ontwikkelen.</t>
  </si>
  <si>
    <t>Ik wil blijven werken aan projecten die aansluiten bij mijn eigen interesses en waarbij ik iets kan ontwikkelen dat daadwerkelijk gebruikt kan worden. Ook wil ik blijven testen, feedback vragen en mijn werk steeds verder verbeteren.</t>
  </si>
  <si>
    <t>In de volgende sprint wil ik mij meer verdiepen in Make, n8n en API-koppelingen, zodat ik The Career Brief verder kan automatiseren. Daarnaast wil ik eerder controleren of mijn ideeën technisch haalbaar zijn en mijn onderzoek naar AI ook daadwerkelijk toepassen in de praktijk.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</si>
</sst>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d\-mm\-yy"/>
  </numFmts>
  <fonts count="10" x14ac:knownFonts="1">
    <font>
      <sz val="11"/>
      <color theme="1"/>
      <name val="Calibri"/>
      <family val="2"/>
      <charset val="1"/>
    </font>
    <font>
      <b/>
      <sz val="11"/>
      <color theme="0"/>
      <name val="Calibri"/>
      <family val="2"/>
      <charset val="1"/>
    </font>
    <font>
      <b/>
      <u/>
      <sz val="11"/>
      <color theme="0"/>
      <name val="Calibri"/>
      <family val="2"/>
      <charset val="1"/>
    </font>
    <font>
      <u/>
      <sz val="11"/>
      <color theme="0"/>
      <name val="Calibri"/>
      <family val="2"/>
      <charset val="1"/>
    </font>
    <font>
      <b/>
      <sz val="11"/>
      <color theme="1"/>
      <name val="Calibri"/>
      <family val="2"/>
      <charset val="1"/>
    </font>
    <font>
      <b/>
      <sz val="13"/>
      <color rgb="FFFFFFFF"/>
      <name val="Arial"/>
      <family val="2"/>
      <charset val="1"/>
    </font>
    <font>
      <sz val="10"/>
      <color rgb="FF000000"/>
      <name val="Arial"/>
      <family val="2"/>
      <charset val="1"/>
    </font>
    <font>
      <b/>
      <sz val="11"/>
      <color rgb="FF1A1A1A"/>
      <name val="Arial"/>
      <family val="2"/>
      <charset val="1"/>
    </font>
    <font>
      <u/>
      <sz val="11"/>
      <color theme="10"/>
      <name val="Calibri"/>
      <family val="2"/>
      <charset val="1"/>
    </font>
    <font>
      <b/>
      <sz val="10"/>
      <color rgb="FF000000"/>
      <name val="Arial"/>
      <family val="2"/>
      <charset val="1"/>
    </font>
  </fonts>
  <fills count="9">
    <fill>
      <patternFill patternType="none"/>
    </fill>
    <fill>
      <patternFill patternType="gray125"/>
    </fill>
    <fill>
      <patternFill patternType="solid">
        <fgColor rgb="FFC00000"/>
        <bgColor rgb="FF800000"/>
      </patternFill>
    </fill>
    <fill>
      <patternFill patternType="solid">
        <fgColor rgb="FFE6302B"/>
        <bgColor rgb="FFC00000"/>
      </patternFill>
    </fill>
    <fill>
      <patternFill patternType="solid">
        <fgColor rgb="FFFDF0F0"/>
        <bgColor rgb="FFEDF7FC"/>
      </patternFill>
    </fill>
    <fill>
      <patternFill patternType="solid">
        <fgColor rgb="FFFACAC9"/>
        <bgColor rgb="FFCCCCCC"/>
      </patternFill>
    </fill>
    <fill>
      <patternFill patternType="solid">
        <fgColor rgb="FF00A1E1"/>
        <bgColor rgb="FF008080"/>
      </patternFill>
    </fill>
    <fill>
      <patternFill patternType="solid">
        <fgColor rgb="FFEDF7FC"/>
        <bgColor rgb="FFFDF0F0"/>
      </patternFill>
    </fill>
    <fill>
      <patternFill patternType="solid">
        <fgColor rgb="FFB3E3F6"/>
        <bgColor rgb="FF99CCFF"/>
      </patternFill>
    </fill>
  </fills>
  <borders count="39">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style="medium">
        <color rgb="FF444444"/>
      </left>
      <right style="thin">
        <color rgb="FF999999"/>
      </right>
      <top style="medium">
        <color rgb="FF444444"/>
      </top>
      <bottom style="thin">
        <color rgb="FF999999"/>
      </bottom>
      <diagonal/>
    </border>
    <border>
      <left style="thin">
        <color rgb="FF999999"/>
      </left>
      <right style="thin">
        <color rgb="FF999999"/>
      </right>
      <top style="medium">
        <color rgb="FF444444"/>
      </top>
      <bottom style="thin">
        <color rgb="FF999999"/>
      </bottom>
      <diagonal/>
    </border>
    <border>
      <left style="thin">
        <color rgb="FF999999"/>
      </left>
      <right style="medium">
        <color rgb="FF444444"/>
      </right>
      <top style="medium">
        <color rgb="FF444444"/>
      </top>
      <bottom style="thin">
        <color rgb="FF999999"/>
      </bottom>
      <diagonal/>
    </border>
    <border>
      <left style="medium">
        <color rgb="FF444444"/>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medium">
        <color rgb="FF444444"/>
      </right>
      <top style="thin">
        <color rgb="FF999999"/>
      </top>
      <bottom style="thin">
        <color rgb="FF999999"/>
      </bottom>
      <diagonal/>
    </border>
    <border>
      <left style="medium">
        <color rgb="FF444444"/>
      </left>
      <right style="thin">
        <color rgb="FF999999"/>
      </right>
      <top style="thin">
        <color rgb="FF999999"/>
      </top>
      <bottom style="medium">
        <color rgb="FF444444"/>
      </bottom>
      <diagonal/>
    </border>
    <border>
      <left style="thin">
        <color rgb="FF999999"/>
      </left>
      <right style="thin">
        <color rgb="FF999999"/>
      </right>
      <top style="thin">
        <color rgb="FF999999"/>
      </top>
      <bottom style="medium">
        <color rgb="FF444444"/>
      </bottom>
      <diagonal/>
    </border>
    <border>
      <left style="thin">
        <color rgb="FF999999"/>
      </left>
      <right style="medium">
        <color rgb="FF444444"/>
      </right>
      <top style="thin">
        <color rgb="FF999999"/>
      </top>
      <bottom style="medium">
        <color rgb="FF444444"/>
      </bottom>
      <diagonal/>
    </border>
    <border>
      <left style="thin">
        <color rgb="FF999999"/>
      </left>
      <right style="thin">
        <color rgb="FF999999"/>
      </right>
      <top style="medium">
        <color rgb="FF444444"/>
      </top>
      <bottom/>
      <diagonal/>
    </border>
    <border>
      <left style="thin">
        <color rgb="FF999999"/>
      </left>
      <right/>
      <top style="thin">
        <color rgb="FF999999"/>
      </top>
      <bottom style="thin">
        <color rgb="FF999999"/>
      </bottom>
      <diagonal/>
    </border>
    <border>
      <left/>
      <right style="medium">
        <color rgb="FF444444"/>
      </right>
      <top style="thin">
        <color rgb="FF999999"/>
      </top>
      <bottom/>
      <diagonal/>
    </border>
    <border>
      <left style="medium">
        <color rgb="FF444444"/>
      </left>
      <right style="thin">
        <color rgb="FF999999"/>
      </right>
      <top style="thin">
        <color rgb="FF999999"/>
      </top>
      <bottom/>
      <diagonal/>
    </border>
    <border>
      <left style="thin">
        <color rgb="FF999999"/>
      </left>
      <right/>
      <top style="thin">
        <color rgb="FF999999"/>
      </top>
      <bottom/>
      <diagonal/>
    </border>
    <border>
      <left/>
      <right/>
      <top style="thin">
        <color auto="1"/>
      </top>
      <bottom style="thin">
        <color auto="1"/>
      </bottom>
      <diagonal/>
    </border>
    <border>
      <left style="thin">
        <color rgb="FFCCCCCC"/>
      </left>
      <right style="thin">
        <color rgb="FFCCCCCC"/>
      </right>
      <top/>
      <bottom style="thin">
        <color rgb="FFCCCCCC"/>
      </bottom>
      <diagonal/>
    </border>
    <border>
      <left style="thin">
        <color rgb="FF999999"/>
      </left>
      <right style="thin">
        <color rgb="FF999999"/>
      </right>
      <top style="thin">
        <color rgb="FF999999"/>
      </top>
      <bottom/>
      <diagonal/>
    </border>
    <border>
      <left style="medium">
        <color rgb="FF888888"/>
      </left>
      <right style="medium">
        <color rgb="FF888888"/>
      </right>
      <top/>
      <bottom style="medium">
        <color rgb="FF888888"/>
      </bottom>
      <diagonal/>
    </border>
    <border>
      <left style="thin">
        <color rgb="FF999999"/>
      </left>
      <right style="medium">
        <color rgb="FF444444"/>
      </right>
      <top style="thin">
        <color rgb="FF999999"/>
      </top>
      <bottom/>
      <diagonal/>
    </border>
    <border>
      <left/>
      <right/>
      <top/>
      <bottom style="thin">
        <color auto="1"/>
      </bottom>
      <diagonal/>
    </border>
    <border>
      <left style="medium">
        <color rgb="FF444444"/>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medium">
        <color rgb="FF444444"/>
      </right>
      <top/>
      <bottom style="thin">
        <color rgb="FF999999"/>
      </bottom>
      <diagonal/>
    </border>
    <border>
      <left/>
      <right/>
      <top/>
      <bottom style="medium">
        <color rgb="FF888888"/>
      </bottom>
      <diagonal/>
    </border>
    <border>
      <left/>
      <right style="medium">
        <color rgb="FF888888"/>
      </right>
      <top/>
      <bottom style="medium">
        <color rgb="FF888888"/>
      </bottom>
      <diagonal/>
    </border>
    <border>
      <left/>
      <right/>
      <top style="medium">
        <color rgb="FF888888"/>
      </top>
      <bottom style="medium">
        <color rgb="FF888888"/>
      </bottom>
      <diagonal/>
    </border>
    <border>
      <left/>
      <right style="medium">
        <color rgb="FF888888"/>
      </right>
      <top style="medium">
        <color rgb="FF888888"/>
      </top>
      <bottom style="medium">
        <color rgb="FF888888"/>
      </bottom>
      <diagonal/>
    </border>
  </borders>
  <cellStyleXfs count="2">
    <xf numFmtId="0" fontId="0" fillId="0" borderId="0"/>
    <xf numFmtId="0" fontId="8" fillId="0" borderId="0"/>
  </cellStyleXfs>
  <cellXfs count="117">
    <xf numFmtId="0" fontId="0" fillId="0" borderId="0" xfId="0"/>
    <xf numFmtId="0" fontId="0" fillId="0" borderId="0" xfId="0" applyAlignment="1">
      <alignment horizontal="center" vertical="center"/>
    </xf>
    <xf numFmtId="0" fontId="1" fillId="2" borderId="1" xfId="0" applyFont="1" applyFill="1" applyBorder="1"/>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xf numFmtId="0" fontId="4" fillId="0" borderId="5"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7" xfId="0" applyFont="1" applyBorder="1"/>
    <xf numFmtId="0" fontId="4" fillId="0" borderId="8"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2" borderId="5" xfId="0" applyFont="1" applyFill="1" applyBorder="1"/>
    <xf numFmtId="0" fontId="6" fillId="4" borderId="0" xfId="0" applyFont="1" applyFill="1"/>
    <xf numFmtId="0" fontId="7" fillId="5" borderId="11" xfId="0" applyFont="1" applyFill="1" applyBorder="1"/>
    <xf numFmtId="0" fontId="8" fillId="5" borderId="11" xfId="0" applyFont="1" applyFill="1" applyBorder="1"/>
    <xf numFmtId="0" fontId="9" fillId="4" borderId="12" xfId="0" applyFont="1" applyFill="1" applyBorder="1"/>
    <xf numFmtId="0" fontId="9" fillId="4" borderId="13" xfId="0" applyFont="1" applyFill="1" applyBorder="1"/>
    <xf numFmtId="0" fontId="9" fillId="4" borderId="14" xfId="0" applyFont="1" applyFill="1" applyBorder="1"/>
    <xf numFmtId="0" fontId="6" fillId="4" borderId="15" xfId="0" applyFont="1" applyFill="1" applyBorder="1" applyProtection="1">
      <protection locked="0"/>
    </xf>
    <xf numFmtId="0" fontId="6" fillId="4" borderId="16" xfId="0" applyFont="1" applyFill="1" applyBorder="1" applyAlignment="1" applyProtection="1">
      <alignment horizontal="left" wrapText="1"/>
      <protection locked="0"/>
    </xf>
    <xf numFmtId="0" fontId="6" fillId="4" borderId="17" xfId="0" applyFont="1" applyFill="1" applyBorder="1" applyAlignment="1" applyProtection="1">
      <alignment horizontal="left" wrapText="1"/>
      <protection locked="0"/>
    </xf>
    <xf numFmtId="49" fontId="6" fillId="4" borderId="16" xfId="0" applyNumberFormat="1" applyFont="1" applyFill="1" applyBorder="1" applyAlignment="1" applyProtection="1">
      <alignment horizontal="left" wrapText="1"/>
      <protection locked="0"/>
    </xf>
    <xf numFmtId="0" fontId="6" fillId="4" borderId="18" xfId="0" applyFont="1" applyFill="1" applyBorder="1" applyProtection="1">
      <protection locked="0"/>
    </xf>
    <xf numFmtId="49" fontId="6" fillId="4" borderId="19" xfId="0" applyNumberFormat="1" applyFont="1" applyFill="1" applyBorder="1" applyAlignment="1" applyProtection="1">
      <alignment horizontal="left" wrapText="1"/>
      <protection locked="0"/>
    </xf>
    <xf numFmtId="0" fontId="6" fillId="4" borderId="19" xfId="0" applyFont="1" applyFill="1" applyBorder="1" applyAlignment="1" applyProtection="1">
      <alignment horizontal="left" wrapText="1"/>
      <protection locked="0"/>
    </xf>
    <xf numFmtId="0" fontId="6" fillId="4" borderId="20" xfId="0" applyFont="1" applyFill="1" applyBorder="1" applyAlignment="1" applyProtection="1">
      <alignment horizontal="left" wrapText="1"/>
      <protection locked="0"/>
    </xf>
    <xf numFmtId="0" fontId="9" fillId="4" borderId="21" xfId="0" applyFont="1" applyFill="1" applyBorder="1"/>
    <xf numFmtId="164" fontId="6" fillId="4" borderId="15" xfId="0" applyNumberFormat="1" applyFont="1" applyFill="1" applyBorder="1" applyProtection="1">
      <protection locked="0"/>
    </xf>
    <xf numFmtId="0" fontId="6" fillId="4" borderId="22" xfId="0" applyFont="1" applyFill="1" applyBorder="1" applyAlignment="1" applyProtection="1">
      <alignment horizontal="left" wrapText="1"/>
      <protection locked="0"/>
    </xf>
    <xf numFmtId="0" fontId="6" fillId="4" borderId="16" xfId="0" applyFont="1" applyFill="1" applyBorder="1" applyAlignment="1">
      <alignment wrapText="1"/>
    </xf>
    <xf numFmtId="0" fontId="6" fillId="4" borderId="23" xfId="0" applyFont="1" applyFill="1" applyBorder="1" applyAlignment="1" applyProtection="1">
      <alignment horizontal="left" wrapText="1"/>
      <protection locked="0"/>
    </xf>
    <xf numFmtId="164" fontId="6" fillId="4" borderId="24" xfId="0" applyNumberFormat="1" applyFont="1" applyFill="1" applyBorder="1" applyProtection="1">
      <protection locked="0"/>
    </xf>
    <xf numFmtId="0" fontId="6" fillId="4" borderId="25" xfId="0" applyFont="1" applyFill="1" applyBorder="1" applyAlignment="1" applyProtection="1">
      <alignment horizontal="left" wrapText="1"/>
      <protection locked="0"/>
    </xf>
    <xf numFmtId="0" fontId="6" fillId="4" borderId="26" xfId="0" applyFont="1" applyFill="1" applyBorder="1"/>
    <xf numFmtId="0" fontId="7" fillId="5" borderId="27" xfId="0" applyFont="1" applyFill="1" applyBorder="1"/>
    <xf numFmtId="0" fontId="6" fillId="4" borderId="15" xfId="0" applyFont="1" applyFill="1" applyBorder="1"/>
    <xf numFmtId="0" fontId="6" fillId="4" borderId="16" xfId="0" applyFont="1" applyFill="1" applyBorder="1" applyProtection="1">
      <protection locked="0"/>
    </xf>
    <xf numFmtId="0" fontId="6" fillId="4" borderId="18" xfId="0" applyFont="1" applyFill="1" applyBorder="1"/>
    <xf numFmtId="0" fontId="6" fillId="4" borderId="19" xfId="0" applyFont="1" applyFill="1" applyBorder="1" applyAlignment="1">
      <alignment wrapText="1"/>
    </xf>
    <xf numFmtId="0" fontId="6" fillId="4" borderId="19" xfId="0" applyFont="1" applyFill="1" applyBorder="1" applyProtection="1">
      <protection locked="0"/>
    </xf>
    <xf numFmtId="0" fontId="6" fillId="4" borderId="0" xfId="0" applyFont="1" applyFill="1" applyAlignment="1">
      <alignment wrapText="1"/>
    </xf>
    <xf numFmtId="0" fontId="6" fillId="4" borderId="0" xfId="0" applyFont="1" applyFill="1" applyProtection="1">
      <protection locked="0"/>
    </xf>
    <xf numFmtId="0" fontId="7" fillId="5" borderId="11" xfId="0" applyFont="1" applyFill="1" applyBorder="1" applyAlignment="1">
      <alignment wrapText="1"/>
    </xf>
    <xf numFmtId="0" fontId="7" fillId="5" borderId="11" xfId="0" applyFont="1" applyFill="1" applyBorder="1" applyProtection="1">
      <protection locked="0"/>
    </xf>
    <xf numFmtId="0" fontId="9" fillId="4" borderId="13" xfId="0" applyFont="1" applyFill="1" applyBorder="1" applyAlignment="1">
      <alignment wrapText="1"/>
    </xf>
    <xf numFmtId="0" fontId="9" fillId="4" borderId="13" xfId="0" applyFont="1" applyFill="1" applyBorder="1" applyProtection="1">
      <protection locked="0"/>
    </xf>
    <xf numFmtId="0" fontId="6" fillId="4" borderId="16" xfId="0" applyFont="1" applyFill="1" applyBorder="1" applyAlignment="1">
      <alignment vertical="top" wrapText="1"/>
    </xf>
    <xf numFmtId="0" fontId="6" fillId="4" borderId="24" xfId="0" applyFont="1" applyFill="1" applyBorder="1"/>
    <xf numFmtId="0" fontId="6" fillId="7" borderId="0" xfId="0" applyFont="1" applyFill="1"/>
    <xf numFmtId="0" fontId="7" fillId="8" borderId="11" xfId="0" applyFont="1" applyFill="1" applyBorder="1"/>
    <xf numFmtId="0" fontId="9" fillId="7" borderId="12" xfId="0" applyFont="1" applyFill="1" applyBorder="1"/>
    <xf numFmtId="0" fontId="9" fillId="7" borderId="13" xfId="0" applyFont="1" applyFill="1" applyBorder="1"/>
    <xf numFmtId="0" fontId="9" fillId="7" borderId="14" xfId="0" applyFont="1" applyFill="1" applyBorder="1"/>
    <xf numFmtId="0" fontId="6" fillId="7" borderId="15" xfId="0" applyFont="1" applyFill="1" applyBorder="1" applyProtection="1">
      <protection locked="0"/>
    </xf>
    <xf numFmtId="49" fontId="6" fillId="7" borderId="16" xfId="0" applyNumberFormat="1" applyFont="1" applyFill="1" applyBorder="1" applyAlignment="1" applyProtection="1">
      <alignment horizontal="left" wrapText="1"/>
      <protection locked="0"/>
    </xf>
    <xf numFmtId="0" fontId="6" fillId="7" borderId="16" xfId="0" applyFont="1" applyFill="1" applyBorder="1" applyAlignment="1" applyProtection="1">
      <alignment horizontal="left" wrapText="1"/>
      <protection locked="0"/>
    </xf>
    <xf numFmtId="0" fontId="6" fillId="7" borderId="17" xfId="0" applyFont="1" applyFill="1" applyBorder="1" applyAlignment="1" applyProtection="1">
      <alignment horizontal="left" wrapText="1"/>
      <protection locked="0"/>
    </xf>
    <xf numFmtId="0" fontId="6" fillId="7" borderId="18" xfId="0" applyFont="1" applyFill="1" applyBorder="1" applyProtection="1">
      <protection locked="0"/>
    </xf>
    <xf numFmtId="49" fontId="6" fillId="7" borderId="19" xfId="0" applyNumberFormat="1" applyFont="1" applyFill="1" applyBorder="1" applyAlignment="1" applyProtection="1">
      <alignment horizontal="left" wrapText="1"/>
      <protection locked="0"/>
    </xf>
    <xf numFmtId="0" fontId="6" fillId="7" borderId="19" xfId="0" applyFont="1" applyFill="1" applyBorder="1" applyAlignment="1" applyProtection="1">
      <alignment horizontal="left" wrapText="1"/>
      <protection locked="0"/>
    </xf>
    <xf numFmtId="0" fontId="6" fillId="7" borderId="20" xfId="0" applyFont="1" applyFill="1" applyBorder="1" applyAlignment="1" applyProtection="1">
      <alignment horizontal="left" wrapText="1"/>
      <protection locked="0"/>
    </xf>
    <xf numFmtId="164" fontId="6" fillId="7" borderId="15" xfId="0" applyNumberFormat="1" applyFont="1" applyFill="1" applyBorder="1" applyProtection="1">
      <protection locked="0"/>
    </xf>
    <xf numFmtId="164" fontId="6" fillId="7" borderId="24" xfId="0" applyNumberFormat="1" applyFont="1" applyFill="1" applyBorder="1" applyProtection="1">
      <protection locked="0"/>
    </xf>
    <xf numFmtId="0" fontId="6" fillId="7" borderId="28" xfId="0" applyFont="1" applyFill="1" applyBorder="1" applyAlignment="1" applyProtection="1">
      <alignment horizontal="left" wrapText="1"/>
      <protection locked="0"/>
    </xf>
    <xf numFmtId="0" fontId="6" fillId="7" borderId="30" xfId="0" applyFont="1" applyFill="1" applyBorder="1" applyAlignment="1" applyProtection="1">
      <alignment horizontal="left" wrapText="1"/>
      <protection locked="0"/>
    </xf>
    <xf numFmtId="0" fontId="6" fillId="7" borderId="6" xfId="0" applyFont="1" applyFill="1" applyBorder="1"/>
    <xf numFmtId="0" fontId="6" fillId="7" borderId="26" xfId="0" applyFont="1" applyFill="1" applyBorder="1"/>
    <xf numFmtId="0" fontId="6" fillId="7" borderId="4" xfId="0" applyFont="1" applyFill="1" applyBorder="1"/>
    <xf numFmtId="0" fontId="7" fillId="8" borderId="27" xfId="0" applyFont="1" applyFill="1" applyBorder="1"/>
    <xf numFmtId="0" fontId="6" fillId="7" borderId="15" xfId="0" applyFont="1" applyFill="1" applyBorder="1"/>
    <xf numFmtId="0" fontId="6" fillId="7" borderId="16" xfId="0" applyFont="1" applyFill="1" applyBorder="1" applyAlignment="1">
      <alignment wrapText="1"/>
    </xf>
    <xf numFmtId="0" fontId="6" fillId="7" borderId="16" xfId="0" applyFont="1" applyFill="1" applyBorder="1" applyProtection="1">
      <protection locked="0"/>
    </xf>
    <xf numFmtId="0" fontId="6" fillId="7" borderId="18" xfId="0" applyFont="1" applyFill="1" applyBorder="1"/>
    <xf numFmtId="0" fontId="6" fillId="7" borderId="19" xfId="0" applyFont="1" applyFill="1" applyBorder="1" applyAlignment="1">
      <alignment wrapText="1"/>
    </xf>
    <xf numFmtId="0" fontId="6" fillId="7" borderId="19" xfId="0" applyFont="1" applyFill="1" applyBorder="1" applyProtection="1">
      <protection locked="0"/>
    </xf>
    <xf numFmtId="0" fontId="6" fillId="7" borderId="0" xfId="0" applyFont="1" applyFill="1" applyAlignment="1">
      <alignment wrapText="1"/>
    </xf>
    <xf numFmtId="0" fontId="6" fillId="7" borderId="0" xfId="0" applyFont="1" applyFill="1" applyProtection="1">
      <protection locked="0"/>
    </xf>
    <xf numFmtId="0" fontId="7" fillId="8" borderId="11" xfId="0" applyFont="1" applyFill="1" applyBorder="1" applyAlignment="1">
      <alignment wrapText="1"/>
    </xf>
    <xf numFmtId="0" fontId="7" fillId="8" borderId="11" xfId="0" applyFont="1" applyFill="1" applyBorder="1" applyProtection="1">
      <protection locked="0"/>
    </xf>
    <xf numFmtId="0" fontId="9" fillId="7" borderId="13" xfId="0" applyFont="1" applyFill="1" applyBorder="1" applyAlignment="1">
      <alignment wrapText="1"/>
    </xf>
    <xf numFmtId="0" fontId="9" fillId="7" borderId="13" xfId="0" applyFont="1" applyFill="1" applyBorder="1" applyProtection="1">
      <protection locked="0"/>
    </xf>
    <xf numFmtId="0" fontId="6" fillId="7" borderId="24" xfId="0" applyFont="1" applyFill="1" applyBorder="1"/>
    <xf numFmtId="0" fontId="6" fillId="7" borderId="28" xfId="0" applyFont="1" applyFill="1" applyBorder="1"/>
    <xf numFmtId="0" fontId="6" fillId="4" borderId="28" xfId="0" applyFont="1" applyFill="1" applyBorder="1" applyAlignment="1" applyProtection="1">
      <alignment horizontal="left" wrapText="1"/>
      <protection locked="0"/>
    </xf>
    <xf numFmtId="0" fontId="6" fillId="4" borderId="30" xfId="0" applyFont="1" applyFill="1" applyBorder="1" applyAlignment="1" applyProtection="1">
      <alignment horizontal="left" wrapText="1"/>
      <protection locked="0"/>
    </xf>
    <xf numFmtId="0" fontId="6" fillId="4" borderId="6" xfId="0" applyFont="1" applyFill="1" applyBorder="1"/>
    <xf numFmtId="0" fontId="6" fillId="4" borderId="4" xfId="0" applyFont="1" applyFill="1" applyBorder="1"/>
    <xf numFmtId="0" fontId="6" fillId="4" borderId="28" xfId="0" applyFont="1" applyFill="1" applyBorder="1"/>
    <xf numFmtId="0" fontId="7" fillId="8" borderId="3" xfId="0" applyFont="1" applyFill="1" applyBorder="1"/>
    <xf numFmtId="0" fontId="7" fillId="8" borderId="31" xfId="0" applyFont="1" applyFill="1" applyBorder="1"/>
    <xf numFmtId="0" fontId="7" fillId="8" borderId="1" xfId="0" applyFont="1" applyFill="1" applyBorder="1"/>
    <xf numFmtId="0" fontId="9" fillId="7" borderId="32" xfId="0" applyFont="1" applyFill="1" applyBorder="1"/>
    <xf numFmtId="0" fontId="9" fillId="7" borderId="33" xfId="0" applyFont="1" applyFill="1" applyBorder="1"/>
    <xf numFmtId="0" fontId="9" fillId="7" borderId="34" xfId="0" applyFont="1" applyFill="1" applyBorder="1"/>
    <xf numFmtId="0" fontId="6" fillId="7" borderId="28" xfId="0" applyFont="1" applyFill="1" applyBorder="1" applyAlignment="1" applyProtection="1">
      <alignment horizontal="left"/>
      <protection locked="0"/>
    </xf>
    <xf numFmtId="0" fontId="6" fillId="7" borderId="30" xfId="0" applyFont="1" applyFill="1" applyBorder="1" applyAlignment="1" applyProtection="1">
      <alignment horizontal="left"/>
      <protection locked="0"/>
    </xf>
    <xf numFmtId="0" fontId="0" fillId="7" borderId="5" xfId="0" applyFill="1" applyBorder="1"/>
    <xf numFmtId="165" fontId="6" fillId="4" borderId="24" xfId="0" applyNumberFormat="1" applyFont="1" applyFill="1" applyBorder="1" applyAlignment="1">
      <alignment horizontal="left" vertical="top"/>
    </xf>
    <xf numFmtId="0" fontId="6" fillId="4" borderId="28" xfId="0" applyFont="1" applyFill="1" applyBorder="1" applyAlignment="1">
      <alignment vertical="top" wrapText="1"/>
    </xf>
    <xf numFmtId="165" fontId="6" fillId="7" borderId="24" xfId="0" applyNumberFormat="1" applyFont="1" applyFill="1" applyBorder="1" applyAlignment="1">
      <alignment horizontal="left" vertical="top"/>
    </xf>
    <xf numFmtId="0" fontId="6" fillId="7" borderId="28" xfId="0" applyFont="1" applyFill="1" applyBorder="1" applyAlignment="1">
      <alignment vertical="top" wrapText="1"/>
    </xf>
    <xf numFmtId="0" fontId="6" fillId="7" borderId="28" xfId="0" applyFont="1" applyFill="1" applyBorder="1" applyAlignment="1" applyProtection="1">
      <alignment vertical="top" wrapText="1"/>
      <protection locked="0"/>
    </xf>
    <xf numFmtId="0" fontId="6" fillId="7" borderId="30" xfId="0" applyFont="1" applyFill="1" applyBorder="1" applyAlignment="1" applyProtection="1">
      <alignment vertical="top" wrapText="1"/>
      <protection locked="0"/>
    </xf>
    <xf numFmtId="0" fontId="8" fillId="0" borderId="5" xfId="1" applyBorder="1" applyAlignment="1">
      <alignment horizontal="center"/>
    </xf>
    <xf numFmtId="0" fontId="0" fillId="0" borderId="26" xfId="0" applyBorder="1"/>
    <xf numFmtId="0" fontId="0" fillId="0" borderId="4" xfId="0" applyBorder="1"/>
    <xf numFmtId="0" fontId="5" fillId="3" borderId="10" xfId="0" applyFont="1" applyFill="1" applyBorder="1"/>
    <xf numFmtId="0" fontId="0" fillId="0" borderId="37" xfId="0" applyBorder="1"/>
    <xf numFmtId="0" fontId="0" fillId="0" borderId="38" xfId="0" applyBorder="1"/>
    <xf numFmtId="0" fontId="5" fillId="6" borderId="29" xfId="0" applyFont="1" applyFill="1" applyBorder="1"/>
    <xf numFmtId="0" fontId="0" fillId="0" borderId="35" xfId="0" applyBorder="1"/>
    <xf numFmtId="0" fontId="0" fillId="0" borderId="36" xfId="0" applyBorder="1"/>
    <xf numFmtId="0" fontId="5" fillId="3" borderId="29" xfId="0" applyFont="1" applyFill="1" applyBorder="1"/>
  </cellXfs>
  <cellStyles count="2">
    <cellStyle name="Hyperlink" xfId="1" builtinId="8"/>
    <cellStyle name="Standaard"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A6A6A6"/>
      <rgbColor rgb="FF993366"/>
      <rgbColor rgb="FFFDF0F0"/>
      <rgbColor rgb="FFEDF7FC"/>
      <rgbColor rgb="FF660066"/>
      <rgbColor rgb="FFFF8080"/>
      <rgbColor rgb="FF0066CC"/>
      <rgbColor rgb="FFB3E3F6"/>
      <rgbColor rgb="FF000080"/>
      <rgbColor rgb="FFFF00FF"/>
      <rgbColor rgb="FFFFFF00"/>
      <rgbColor rgb="FF00FFFF"/>
      <rgbColor rgb="FF800080"/>
      <rgbColor rgb="FF800000"/>
      <rgbColor rgb="FF008080"/>
      <rgbColor rgb="FF0000FF"/>
      <rgbColor rgb="FF00A1E1"/>
      <rgbColor rgb="FFCCFFFF"/>
      <rgbColor rgb="FFCCFFCC"/>
      <rgbColor rgb="FFFFFF99"/>
      <rgbColor rgb="FF99CCFF"/>
      <rgbColor rgb="FFFF99CC"/>
      <rgbColor rgb="FFCC99FF"/>
      <rgbColor rgb="FFFACAC9"/>
      <rgbColor rgb="FF3366FF"/>
      <rgbColor rgb="FF33CCCC"/>
      <rgbColor rgb="FF99CC00"/>
      <rgbColor rgb="FFFFCC00"/>
      <rgbColor rgb="FFFF9900"/>
      <rgbColor rgb="FFFF6600"/>
      <rgbColor rgb="FF666699"/>
      <rgbColor rgb="FF999999"/>
      <rgbColor rgb="FF003366"/>
      <rgbColor rgb="FF339966"/>
      <rgbColor rgb="FF003300"/>
      <rgbColor rgb="FF1A1A1A"/>
      <rgbColor rgb="FFE6302B"/>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K7" totalsRowShown="0">
  <autoFilter ref="A1:K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LU"/>
    <tableColumn id="2" xr3:uid="{00000000-0010-0000-0000-000002000000}" name="Doel"/>
    <tableColumn id="3" xr3:uid="{00000000-0010-0000-0000-000003000000}" name="Behaald"/>
    <tableColumn id="4" xr3:uid="{00000000-0010-0000-0000-000004000000}" name="Sprint 1"/>
    <tableColumn id="5" xr3:uid="{00000000-0010-0000-0000-000005000000}" name="Sprint 2"/>
    <tableColumn id="6" xr3:uid="{00000000-0010-0000-0000-000006000000}" name="Sprint 3"/>
    <tableColumn id="7" xr3:uid="{00000000-0010-0000-0000-000007000000}" name="Sprint 4"/>
    <tableColumn id="8" xr3:uid="{00000000-0010-0000-0000-000008000000}" name="Sprint 5"/>
    <tableColumn id="9" xr3:uid="{00000000-0010-0000-0000-000009000000}" name="Sprint 6"/>
    <tableColumn id="10" xr3:uid="{00000000-0010-0000-0000-00000A000000}" name="Sprint 7"/>
    <tableColumn id="11" xr3:uid="{00000000-0010-0000-0000-00000B000000}" name="Sprint 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2" displayName="Tabel2" ref="A4:D9" totalsRowShown="0">
  <tableColumns count="4">
    <tableColumn id="1" xr3:uid="{00000000-0010-0000-0100-000001000000}" name="Story"/>
    <tableColumn id="2" xr3:uid="{00000000-0010-0000-0100-000002000000}" name="Story Omschrijving"/>
    <tableColumn id="3" xr3:uid="{00000000-0010-0000-0100-000003000000}" name="Acceptatie Criteria"/>
    <tableColumn id="4" xr3:uid="{00000000-0010-0000-0100-000004000000}" name="Kwaliteitscriteri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213" displayName="Tabel213" ref="A32:D37" totalsRowShown="0">
  <tableColumns count="4">
    <tableColumn id="1" xr3:uid="{00000000-0010-0000-0200-000001000000}" name="Story"/>
    <tableColumn id="2" xr3:uid="{00000000-0010-0000-0200-000002000000}" name="Story Omschrijving"/>
    <tableColumn id="3" xr3:uid="{00000000-0010-0000-0200-000003000000}" name="Acceptatie Criteria"/>
    <tableColumn id="4" xr3:uid="{00000000-0010-0000-0200-000004000000}" name="Kwaliteitscriteri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21317" displayName="Tabel21317" ref="A60:D65" totalsRowShown="0">
  <tableColumns count="4">
    <tableColumn id="1" xr3:uid="{00000000-0010-0000-0300-000001000000}" name="Story"/>
    <tableColumn id="2" xr3:uid="{00000000-0010-0000-0300-000002000000}" name="Story Omschrijving"/>
    <tableColumn id="3" xr3:uid="{00000000-0010-0000-0300-000003000000}" name="Acceptatie Criteria"/>
    <tableColumn id="4" xr3:uid="{00000000-0010-0000-0300-000004000000}" name="Kwaliteitscriteri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2131721" displayName="Tabel2131721" ref="A88:D93" totalsRowShown="0">
  <tableColumns count="4">
    <tableColumn id="1" xr3:uid="{00000000-0010-0000-0400-000001000000}" name="Story"/>
    <tableColumn id="2" xr3:uid="{00000000-0010-0000-0400-000002000000}" name="Story Omschrijving"/>
    <tableColumn id="3" xr3:uid="{00000000-0010-0000-0400-000003000000}" name="Acceptatie Criteria"/>
    <tableColumn id="4" xr3:uid="{00000000-0010-0000-0400-000004000000}" name="Kwaliteitscriteri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213172125" displayName="Tabel213172125" ref="A116:D121" totalsRowShown="0">
  <tableColumns count="4">
    <tableColumn id="1" xr3:uid="{00000000-0010-0000-0500-000001000000}" name="Story"/>
    <tableColumn id="2" xr3:uid="{00000000-0010-0000-0500-000002000000}" name="Story Omschrijving"/>
    <tableColumn id="3" xr3:uid="{00000000-0010-0000-0500-000003000000}" name="Acceptatie Criteria"/>
    <tableColumn id="4" xr3:uid="{00000000-0010-0000-0500-000004000000}" name="Kwaliteitscriteri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21317212529" displayName="Tabel21317212529" ref="A144:D149" totalsRowShown="0">
  <tableColumns count="4">
    <tableColumn id="1" xr3:uid="{00000000-0010-0000-0600-000001000000}" name="Story"/>
    <tableColumn id="2" xr3:uid="{00000000-0010-0000-0600-000002000000}" name="Story Omschrijving"/>
    <tableColumn id="3" xr3:uid="{00000000-0010-0000-0600-000003000000}" name="Acceptatie Criteria"/>
    <tableColumn id="4" xr3:uid="{00000000-0010-0000-0600-000004000000}" name="Kwaliteitscriteri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el2131721252933" displayName="Tabel2131721252933" ref="A172:D177" totalsRowShown="0">
  <tableColumns count="4">
    <tableColumn id="1" xr3:uid="{00000000-0010-0000-0700-000001000000}" name="Story"/>
    <tableColumn id="2" xr3:uid="{00000000-0010-0000-0700-000002000000}" name="Story Omschrijving"/>
    <tableColumn id="3" xr3:uid="{00000000-0010-0000-0700-000003000000}" name="Acceptatie Criteria"/>
    <tableColumn id="4" xr3:uid="{00000000-0010-0000-0700-000004000000}" name="Kwaliteitscriteri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213172125293337" displayName="Tabel213172125293337" ref="A200:D205" totalsRowShown="0">
  <tableColumns count="4">
    <tableColumn id="1" xr3:uid="{00000000-0010-0000-0800-000001000000}" name="Story"/>
    <tableColumn id="2" xr3:uid="{00000000-0010-0000-0800-000002000000}" name="Story Omschrijving"/>
    <tableColumn id="3" xr3:uid="{00000000-0010-0000-0800-000003000000}" name="Acceptatie Criteria"/>
    <tableColumn id="4" xr3:uid="{00000000-0010-0000-0800-000004000000}" name="Kwaliteitscriteri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el5" displayName="Tabel5" ref="A17:D22" totalsRowShown="0">
  <autoFilter ref="A17:D22" xr:uid="{00000000-0009-0000-0100-00000A000000}">
    <filterColumn colId="0" hiddenButton="1"/>
    <filterColumn colId="1" hiddenButton="1"/>
    <filterColumn colId="2" hiddenButton="1"/>
    <filterColumn colId="3" hiddenButton="1"/>
  </autoFilter>
  <tableColumns count="4">
    <tableColumn id="1" xr3:uid="{00000000-0010-0000-0900-000001000000}" name="LU"/>
    <tableColumn id="2" xr3:uid="{00000000-0010-0000-0900-000002000000}" name="Leeruitkomst"/>
    <tableColumn id="3" xr3:uid="{00000000-0010-0000-0900-000003000000}" name="Niveau"/>
    <tableColumn id="4" xr3:uid="{00000000-0010-0000-0900-000004000000}" name="Argumentatie en bewij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el514" displayName="Tabel514" ref="A45:D50" totalsRowShown="0">
  <tableColumns count="4">
    <tableColumn id="1" xr3:uid="{00000000-0010-0000-0A00-000001000000}" name="LU"/>
    <tableColumn id="2" xr3:uid="{00000000-0010-0000-0A00-000002000000}" name="Leeruitkomst"/>
    <tableColumn id="3" xr3:uid="{00000000-0010-0000-0A00-000003000000}" name="Niveau"/>
    <tableColumn id="4" xr3:uid="{00000000-0010-0000-0A00-000004000000}" name="Argumentatie en bewij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el51418" displayName="Tabel51418" ref="A73:D78" totalsRowShown="0">
  <tableColumns count="4">
    <tableColumn id="1" xr3:uid="{00000000-0010-0000-0B00-000001000000}" name="LU"/>
    <tableColumn id="2" xr3:uid="{00000000-0010-0000-0B00-000002000000}" name="Leeruitkomst"/>
    <tableColumn id="3" xr3:uid="{00000000-0010-0000-0B00-000003000000}" name="Niveau"/>
    <tableColumn id="4" xr3:uid="{00000000-0010-0000-0B00-000004000000}" name="Argumentatie en bewij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5141822" displayName="Tabel5141822" ref="A101:D106" totalsRowShown="0">
  <tableColumns count="4">
    <tableColumn id="1" xr3:uid="{00000000-0010-0000-0C00-000001000000}" name="LU"/>
    <tableColumn id="2" xr3:uid="{00000000-0010-0000-0C00-000002000000}" name="Leeruitkomst"/>
    <tableColumn id="3" xr3:uid="{00000000-0010-0000-0C00-000003000000}" name="Niveau"/>
    <tableColumn id="4" xr3:uid="{00000000-0010-0000-0C00-000004000000}" name="Argumentatie en bewij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514182226" displayName="Tabel514182226" ref="A129:D134" totalsRowShown="0">
  <tableColumns count="4">
    <tableColumn id="1" xr3:uid="{00000000-0010-0000-0D00-000001000000}" name="LU"/>
    <tableColumn id="2" xr3:uid="{00000000-0010-0000-0D00-000002000000}" name="Leeruitkomst"/>
    <tableColumn id="3" xr3:uid="{00000000-0010-0000-0D00-000003000000}" name="Niveau"/>
    <tableColumn id="4" xr3:uid="{00000000-0010-0000-0D00-000004000000}" name="Argumentatie en bewij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51418222630" displayName="Tabel51418222630" ref="A157:D162" totalsRowShown="0">
  <tableColumns count="4">
    <tableColumn id="1" xr3:uid="{00000000-0010-0000-0E00-000001000000}" name="LU"/>
    <tableColumn id="2" xr3:uid="{00000000-0010-0000-0E00-000002000000}" name="Leeruitkomst"/>
    <tableColumn id="3" xr3:uid="{00000000-0010-0000-0E00-000003000000}" name="Niveau"/>
    <tableColumn id="4" xr3:uid="{00000000-0010-0000-0E00-000004000000}" name="Argumentatie en bewij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el5141822263034" displayName="Tabel5141822263034" ref="A185:D190" totalsRowShown="0">
  <tableColumns count="4">
    <tableColumn id="1" xr3:uid="{00000000-0010-0000-0F00-000001000000}" name="LU"/>
    <tableColumn id="2" xr3:uid="{00000000-0010-0000-0F00-000002000000}" name="Leeruitkomst"/>
    <tableColumn id="3" xr3:uid="{00000000-0010-0000-0F00-000003000000}" name="Niveau"/>
    <tableColumn id="4" xr3:uid="{00000000-0010-0000-0F00-000004000000}" name="Argumentatie en bewij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el514182226303438" displayName="Tabel514182226303438" ref="A213:D218" totalsRowShown="0">
  <tableColumns count="4">
    <tableColumn id="1" xr3:uid="{00000000-0010-0000-1000-000001000000}" name="LU"/>
    <tableColumn id="2" xr3:uid="{00000000-0010-0000-1000-000002000000}" name="Leeruitkomst"/>
    <tableColumn id="3" xr3:uid="{00000000-0010-0000-1000-000003000000}" name="Niveau"/>
    <tableColumn id="4" xr3:uid="{00000000-0010-0000-1000-000004000000}" name="Argumentatie en bewij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el6" displayName="Tabel6" ref="A12:D14" totalsRowShown="0">
  <autoFilter ref="A12:D14" xr:uid="{00000000-0009-0000-0100-000012000000}">
    <filterColumn colId="0" hiddenButton="1"/>
    <filterColumn colId="1" hiddenButton="1"/>
    <filterColumn colId="2" hiddenButton="1"/>
    <filterColumn colId="3" hiddenButton="1"/>
  </autoFilter>
  <tableColumns count="4">
    <tableColumn id="1" xr3:uid="{00000000-0010-0000-1100-000001000000}" name="Datum"/>
    <tableColumn id="2" xr3:uid="{00000000-0010-0000-1100-000002000000}" name="Van wie"/>
    <tableColumn id="3" xr3:uid="{00000000-0010-0000-1100-000003000000}" name="Feedback"/>
    <tableColumn id="4" xr3:uid="{00000000-0010-0000-1100-000004000000}" name="Jouw acti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el615" displayName="Tabel615" ref="A40:D42" totalsRowShown="0">
  <tableColumns count="4">
    <tableColumn id="1" xr3:uid="{00000000-0010-0000-1200-000001000000}" name="Datum"/>
    <tableColumn id="2" xr3:uid="{00000000-0010-0000-1200-000002000000}" name="Van wie"/>
    <tableColumn id="3" xr3:uid="{00000000-0010-0000-1200-000003000000}" name="Feedback"/>
    <tableColumn id="4" xr3:uid="{00000000-0010-0000-1200-000004000000}" name="Jouw actie"/>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el61519" displayName="Tabel61519" ref="A68:D70" totalsRowShown="0">
  <tableColumns count="4">
    <tableColumn id="1" xr3:uid="{00000000-0010-0000-1300-000001000000}" name="Datum"/>
    <tableColumn id="2" xr3:uid="{00000000-0010-0000-1300-000002000000}" name="Van wie"/>
    <tableColumn id="3" xr3:uid="{00000000-0010-0000-1300-000003000000}" name="Feedback"/>
    <tableColumn id="4" xr3:uid="{00000000-0010-0000-1300-000004000000}" name="Jouw actie"/>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el6151923" displayName="Tabel6151923" ref="A96:D98" totalsRowShown="0">
  <tableColumns count="4">
    <tableColumn id="1" xr3:uid="{00000000-0010-0000-1400-000001000000}" name="Datum"/>
    <tableColumn id="2" xr3:uid="{00000000-0010-0000-1400-000002000000}" name="Van wie"/>
    <tableColumn id="3" xr3:uid="{00000000-0010-0000-1400-000003000000}" name="Feedback"/>
    <tableColumn id="4" xr3:uid="{00000000-0010-0000-1400-000004000000}" name="Jouw acti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el615192327" displayName="Tabel615192327" ref="A124:D126" totalsRowShown="0">
  <tableColumns count="4">
    <tableColumn id="1" xr3:uid="{00000000-0010-0000-1500-000001000000}" name="Datum"/>
    <tableColumn id="2" xr3:uid="{00000000-0010-0000-1500-000002000000}" name="Van wie"/>
    <tableColumn id="3" xr3:uid="{00000000-0010-0000-1500-000003000000}" name="Feedback"/>
    <tableColumn id="4" xr3:uid="{00000000-0010-0000-1500-000004000000}" name="Jouw actie"/>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el61519232731" displayName="Tabel61519232731" ref="A152:D154" totalsRowShown="0">
  <tableColumns count="4">
    <tableColumn id="1" xr3:uid="{00000000-0010-0000-1600-000001000000}" name="Datum"/>
    <tableColumn id="2" xr3:uid="{00000000-0010-0000-1600-000002000000}" name="Van wie"/>
    <tableColumn id="3" xr3:uid="{00000000-0010-0000-1600-000003000000}" name="Feedback"/>
    <tableColumn id="4" xr3:uid="{00000000-0010-0000-1600-000004000000}" name="Jouw actie"/>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el6151923273135" displayName="Tabel6151923273135" ref="A180:D182" totalsRowShown="0">
  <tableColumns count="4">
    <tableColumn id="1" xr3:uid="{00000000-0010-0000-1700-000001000000}" name="Datum"/>
    <tableColumn id="2" xr3:uid="{00000000-0010-0000-1700-000002000000}" name="Van wie"/>
    <tableColumn id="3" xr3:uid="{00000000-0010-0000-1700-000003000000}" name="Feedback"/>
    <tableColumn id="4" xr3:uid="{00000000-0010-0000-1700-000004000000}" name="Jouw actie"/>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el615192327313539" displayName="Tabel615192327313539" ref="A208:D210" totalsRowShown="0">
  <tableColumns count="4">
    <tableColumn id="1" xr3:uid="{00000000-0010-0000-1800-000001000000}" name="Datum"/>
    <tableColumn id="2" xr3:uid="{00000000-0010-0000-1800-000002000000}" name="Van wie"/>
    <tableColumn id="3" xr3:uid="{00000000-0010-0000-1800-000003000000}" name="Feedback"/>
    <tableColumn id="4" xr3:uid="{00000000-0010-0000-1800-000004000000}" name="Jouw actie"/>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el7" displayName="Tabel7" ref="A25:D28" totalsRowShown="0">
  <autoFilter ref="A25:D28" xr:uid="{00000000-0009-0000-0100-00001A000000}">
    <filterColumn colId="0" hiddenButton="1"/>
    <filterColumn colId="1" hiddenButton="1"/>
    <filterColumn colId="2" hiddenButton="1"/>
    <filterColumn colId="3" hiddenButton="1"/>
  </autoFilter>
  <tableColumns count="4">
    <tableColumn id="1" xr3:uid="{00000000-0010-0000-1900-000001000000}" name="Datum"/>
    <tableColumn id="2" xr3:uid="{00000000-0010-0000-1900-000002000000}" name="Wat heb je geleerd?"/>
    <tableColumn id="3" xr3:uid="{00000000-0010-0000-1900-000003000000}" name="Wat behoud je?"/>
    <tableColumn id="4" xr3:uid="{00000000-0010-0000-1900-000004000000}" name="Wat ga je anders doen?"/>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el716" displayName="Tabel716" ref="A53:D55" totalsRowShown="0">
  <tableColumns count="4">
    <tableColumn id="1" xr3:uid="{00000000-0010-0000-1A00-000001000000}" name="Datum"/>
    <tableColumn id="2" xr3:uid="{00000000-0010-0000-1A00-000002000000}" name="Wat heb je geleerd?"/>
    <tableColumn id="3" xr3:uid="{00000000-0010-0000-1A00-000003000000}" name="Wat behoud je?"/>
    <tableColumn id="4" xr3:uid="{00000000-0010-0000-1A00-000004000000}" name="Wat ga je anders doen?"/>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el71620" displayName="Tabel71620" ref="A81:D83" totalsRowShown="0">
  <tableColumns count="4">
    <tableColumn id="1" xr3:uid="{00000000-0010-0000-1B00-000001000000}" name="Datum"/>
    <tableColumn id="2" xr3:uid="{00000000-0010-0000-1B00-000002000000}" name="Wat heb je geleerd?"/>
    <tableColumn id="3" xr3:uid="{00000000-0010-0000-1B00-000003000000}" name="Wat behoud je?"/>
    <tableColumn id="4" xr3:uid="{00000000-0010-0000-1B00-000004000000}" name="Wat ga je anders doen?"/>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el7162024" displayName="Tabel7162024" ref="A109:D111" totalsRowShown="0">
  <tableColumns count="4">
    <tableColumn id="1" xr3:uid="{00000000-0010-0000-1C00-000001000000}" name="Datum"/>
    <tableColumn id="2" xr3:uid="{00000000-0010-0000-1C00-000002000000}" name="Wat heb je geleerd?"/>
    <tableColumn id="3" xr3:uid="{00000000-0010-0000-1C00-000003000000}" name="Wat behoud je?"/>
    <tableColumn id="4" xr3:uid="{00000000-0010-0000-1C00-000004000000}" name="Wat ga je anders doen?"/>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el716202428" displayName="Tabel716202428" ref="A137:D139" totalsRowShown="0">
  <tableColumns count="4">
    <tableColumn id="1" xr3:uid="{00000000-0010-0000-1D00-000001000000}" name="Datum"/>
    <tableColumn id="2" xr3:uid="{00000000-0010-0000-1D00-000002000000}" name="Wat heb je geleerd?"/>
    <tableColumn id="3" xr3:uid="{00000000-0010-0000-1D00-000003000000}" name="Wat behoud je?"/>
    <tableColumn id="4" xr3:uid="{00000000-0010-0000-1D00-000004000000}" name="Wat ga je anders doen?"/>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el71620242832" displayName="Tabel71620242832" ref="A165:D167" totalsRowShown="0">
  <tableColumns count="4">
    <tableColumn id="1" xr3:uid="{00000000-0010-0000-1E00-000001000000}" name="Datum"/>
    <tableColumn id="2" xr3:uid="{00000000-0010-0000-1E00-000002000000}" name="Wat heb je geleerd?"/>
    <tableColumn id="3" xr3:uid="{00000000-0010-0000-1E00-000003000000}" name="Wat behoud je?"/>
    <tableColumn id="4" xr3:uid="{00000000-0010-0000-1E00-000004000000}" name="Wat ga je anders doen?"/>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el7162024283236" displayName="Tabel7162024283236" ref="A193:D195" totalsRowShown="0">
  <tableColumns count="4">
    <tableColumn id="1" xr3:uid="{00000000-0010-0000-1F00-000001000000}" name="Datum"/>
    <tableColumn id="2" xr3:uid="{00000000-0010-0000-1F00-000002000000}" name="Wat heb je geleerd?"/>
    <tableColumn id="3" xr3:uid="{00000000-0010-0000-1F00-000003000000}" name="Wat behoud je?"/>
    <tableColumn id="4" xr3:uid="{00000000-0010-0000-1F00-000004000000}" name="Wat ga je anders doen?"/>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el716202428323640" displayName="Tabel716202428323640" ref="A221:D222" totalsRowShown="0">
  <tableColumns count="4">
    <tableColumn id="1" xr3:uid="{00000000-0010-0000-2000-000001000000}" name="Datum"/>
    <tableColumn id="2" xr3:uid="{00000000-0010-0000-2000-000002000000}" name="Wat heb je geleerd?"/>
    <tableColumn id="3" xr3:uid="{00000000-0010-0000-2000-000003000000}" name="Wat behoud je?"/>
    <tableColumn id="4" xr3:uid="{00000000-0010-0000-2000-000004000000}" name="Wat ga je anders doe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persoonlijk-portfolio.vercel.app/" TargetMode="External"/></Relationships>
</file>

<file path=xl/worksheets/_rels/sheet2.xml.rels><?xml version="1.0" encoding="UTF-8" standalone="yes"?>
<Relationships xmlns="http://schemas.openxmlformats.org/package/2006/relationships"><Relationship Id="rId13" Type="http://schemas.openxmlformats.org/officeDocument/2006/relationships/table" Target="../tables/table6.xml"/><Relationship Id="rId18" Type="http://schemas.openxmlformats.org/officeDocument/2006/relationships/table" Target="../tables/table11.xml"/><Relationship Id="rId26" Type="http://schemas.openxmlformats.org/officeDocument/2006/relationships/table" Target="../tables/table19.xml"/><Relationship Id="rId39" Type="http://schemas.openxmlformats.org/officeDocument/2006/relationships/table" Target="../tables/table32.xml"/><Relationship Id="rId21" Type="http://schemas.openxmlformats.org/officeDocument/2006/relationships/table" Target="../tables/table14.xml"/><Relationship Id="rId34" Type="http://schemas.openxmlformats.org/officeDocument/2006/relationships/table" Target="../tables/table27.xml"/><Relationship Id="rId7" Type="http://schemas.openxmlformats.org/officeDocument/2006/relationships/hyperlink" Target="https://gemini.google.com/gem/e1643241e823?usp=sharing" TargetMode="External"/><Relationship Id="rId12" Type="http://schemas.openxmlformats.org/officeDocument/2006/relationships/table" Target="../tables/table5.xml"/><Relationship Id="rId17" Type="http://schemas.openxmlformats.org/officeDocument/2006/relationships/table" Target="../tables/table10.xml"/><Relationship Id="rId25" Type="http://schemas.openxmlformats.org/officeDocument/2006/relationships/table" Target="../tables/table18.xml"/><Relationship Id="rId33" Type="http://schemas.openxmlformats.org/officeDocument/2006/relationships/table" Target="../tables/table26.xml"/><Relationship Id="rId38" Type="http://schemas.openxmlformats.org/officeDocument/2006/relationships/table" Target="../tables/table31.xml"/><Relationship Id="rId2" Type="http://schemas.openxmlformats.org/officeDocument/2006/relationships/hyperlink" Target="https://gemini.google.com/gem/e1643241e823?usp=sharing" TargetMode="External"/><Relationship Id="rId16" Type="http://schemas.openxmlformats.org/officeDocument/2006/relationships/table" Target="../tables/table9.xml"/><Relationship Id="rId20" Type="http://schemas.openxmlformats.org/officeDocument/2006/relationships/table" Target="../tables/table13.xml"/><Relationship Id="rId29" Type="http://schemas.openxmlformats.org/officeDocument/2006/relationships/table" Target="../tables/table22.xml"/><Relationship Id="rId1" Type="http://schemas.openxmlformats.org/officeDocument/2006/relationships/hyperlink" Target="https://gemini.google.com/gem/e1643241e823?usp=sharing" TargetMode="External"/><Relationship Id="rId6" Type="http://schemas.openxmlformats.org/officeDocument/2006/relationships/hyperlink" Target="https://gemini.google.com/gem/e1643241e823?usp=sharing" TargetMode="External"/><Relationship Id="rId11" Type="http://schemas.openxmlformats.org/officeDocument/2006/relationships/table" Target="../tables/table4.xml"/><Relationship Id="rId24" Type="http://schemas.openxmlformats.org/officeDocument/2006/relationships/table" Target="../tables/table17.xml"/><Relationship Id="rId32" Type="http://schemas.openxmlformats.org/officeDocument/2006/relationships/table" Target="../tables/table25.xml"/><Relationship Id="rId37" Type="http://schemas.openxmlformats.org/officeDocument/2006/relationships/table" Target="../tables/table30.xml"/><Relationship Id="rId40" Type="http://schemas.openxmlformats.org/officeDocument/2006/relationships/table" Target="../tables/table33.xml"/><Relationship Id="rId5" Type="http://schemas.openxmlformats.org/officeDocument/2006/relationships/hyperlink" Target="https://gemini.google.com/gem/e1643241e823?usp=sharing" TargetMode="External"/><Relationship Id="rId15" Type="http://schemas.openxmlformats.org/officeDocument/2006/relationships/table" Target="../tables/table8.xml"/><Relationship Id="rId23" Type="http://schemas.openxmlformats.org/officeDocument/2006/relationships/table" Target="../tables/table16.xml"/><Relationship Id="rId28" Type="http://schemas.openxmlformats.org/officeDocument/2006/relationships/table" Target="../tables/table21.xml"/><Relationship Id="rId36" Type="http://schemas.openxmlformats.org/officeDocument/2006/relationships/table" Target="../tables/table29.xml"/><Relationship Id="rId10" Type="http://schemas.openxmlformats.org/officeDocument/2006/relationships/table" Target="../tables/table3.xml"/><Relationship Id="rId19" Type="http://schemas.openxmlformats.org/officeDocument/2006/relationships/table" Target="../tables/table12.xml"/><Relationship Id="rId31" Type="http://schemas.openxmlformats.org/officeDocument/2006/relationships/table" Target="../tables/table24.xml"/><Relationship Id="rId4" Type="http://schemas.openxmlformats.org/officeDocument/2006/relationships/hyperlink" Target="https://gemini.google.com/gem/e1643241e823?usp=sharing" TargetMode="External"/><Relationship Id="rId9" Type="http://schemas.openxmlformats.org/officeDocument/2006/relationships/table" Target="../tables/table2.xml"/><Relationship Id="rId14" Type="http://schemas.openxmlformats.org/officeDocument/2006/relationships/table" Target="../tables/table7.xml"/><Relationship Id="rId22" Type="http://schemas.openxmlformats.org/officeDocument/2006/relationships/table" Target="../tables/table15.xml"/><Relationship Id="rId27" Type="http://schemas.openxmlformats.org/officeDocument/2006/relationships/table" Target="../tables/table20.xml"/><Relationship Id="rId30" Type="http://schemas.openxmlformats.org/officeDocument/2006/relationships/table" Target="../tables/table23.xml"/><Relationship Id="rId35" Type="http://schemas.openxmlformats.org/officeDocument/2006/relationships/table" Target="../tables/table28.xml"/><Relationship Id="rId8" Type="http://schemas.openxmlformats.org/officeDocument/2006/relationships/hyperlink" Target="https://gemini.google.com/gem/e1643241e823?usp=sharing" TargetMode="External"/><Relationship Id="rId3" Type="http://schemas.openxmlformats.org/officeDocument/2006/relationships/hyperlink" Target="https://gemini.google.com/gem/e1643241e823?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zoomScale="98" zoomScaleNormal="98" workbookViewId="0">
      <selection activeCell="F7" sqref="F7"/>
    </sheetView>
  </sheetViews>
  <sheetFormatPr baseColWidth="10" defaultColWidth="8.6640625" defaultRowHeight="15" x14ac:dyDescent="0.2"/>
  <cols>
    <col min="1" max="1" width="14.5" customWidth="1"/>
    <col min="2" max="2" width="6.5" customWidth="1"/>
    <col min="3" max="3" width="9.5" customWidth="1"/>
    <col min="4" max="11" width="9.1640625" style="1" customWidth="1"/>
  </cols>
  <sheetData>
    <row r="1" spans="1:11" ht="14.25" customHeight="1" x14ac:dyDescent="0.2">
      <c r="A1" s="2" t="s">
        <v>0</v>
      </c>
      <c r="B1" s="3" t="s">
        <v>1</v>
      </c>
      <c r="C1" s="3" t="s">
        <v>2</v>
      </c>
      <c r="D1" s="4" t="s">
        <v>3</v>
      </c>
      <c r="E1" s="5" t="s">
        <v>4</v>
      </c>
      <c r="F1" s="5" t="s">
        <v>5</v>
      </c>
      <c r="G1" s="5" t="s">
        <v>6</v>
      </c>
      <c r="H1" s="5" t="s">
        <v>7</v>
      </c>
      <c r="I1" s="5" t="s">
        <v>8</v>
      </c>
      <c r="J1" s="5" t="s">
        <v>9</v>
      </c>
      <c r="K1" s="6" t="s">
        <v>10</v>
      </c>
    </row>
    <row r="2" spans="1:11" ht="14.25" customHeight="1" x14ac:dyDescent="0.2">
      <c r="A2" s="7" t="s">
        <v>11</v>
      </c>
      <c r="B2" s="8">
        <v>2</v>
      </c>
      <c r="C2" s="8">
        <f>COUNTIF(D2:K2, "V")</f>
        <v>2</v>
      </c>
      <c r="D2" s="9" t="str">
        <f>Logboek!C18</f>
        <v>V</v>
      </c>
      <c r="E2" s="9" t="str">
        <f>Logboek!C46</f>
        <v>-</v>
      </c>
      <c r="F2" s="9" t="str">
        <f>Logboek!C74</f>
        <v>V</v>
      </c>
      <c r="G2" s="9" t="str">
        <f>Logboek!C102</f>
        <v>-</v>
      </c>
      <c r="H2" s="9" t="str">
        <f>Logboek!C130</f>
        <v>-</v>
      </c>
      <c r="I2" s="9" t="str">
        <f>Logboek!C158</f>
        <v>-</v>
      </c>
      <c r="J2" s="9" t="str">
        <f>Logboek!C186</f>
        <v>-</v>
      </c>
      <c r="K2" s="10" t="str">
        <f>Logboek!C214</f>
        <v>-</v>
      </c>
    </row>
    <row r="3" spans="1:11" ht="14.25" customHeight="1" x14ac:dyDescent="0.2">
      <c r="A3" s="7" t="s">
        <v>12</v>
      </c>
      <c r="B3" s="8">
        <v>4</v>
      </c>
      <c r="C3" s="8">
        <f>COUNTIF(D3:K3, "V")</f>
        <v>3</v>
      </c>
      <c r="D3" s="9" t="str">
        <f>Logboek!C19</f>
        <v>V</v>
      </c>
      <c r="E3" s="9" t="str">
        <f>Logboek!C47</f>
        <v>V</v>
      </c>
      <c r="F3" s="9" t="str">
        <f>Logboek!C75</f>
        <v>V</v>
      </c>
      <c r="G3" s="9" t="str">
        <f>Logboek!C103</f>
        <v>-</v>
      </c>
      <c r="H3" s="9" t="str">
        <f>Logboek!C131</f>
        <v>-</v>
      </c>
      <c r="I3" s="9" t="str">
        <f>Logboek!C159</f>
        <v>-</v>
      </c>
      <c r="J3" s="9" t="str">
        <f>Logboek!C187</f>
        <v>-</v>
      </c>
      <c r="K3" s="10" t="str">
        <f>Logboek!C215</f>
        <v>-</v>
      </c>
    </row>
    <row r="4" spans="1:11" ht="14.25" customHeight="1" x14ac:dyDescent="0.2">
      <c r="A4" s="7" t="s">
        <v>13</v>
      </c>
      <c r="B4" s="8">
        <v>2</v>
      </c>
      <c r="C4" s="8">
        <f>COUNTIF(D4:K4, "V")</f>
        <v>0</v>
      </c>
      <c r="D4" s="9" t="str">
        <f>Logboek!C20</f>
        <v>-</v>
      </c>
      <c r="E4" s="9" t="str">
        <f>Logboek!C48</f>
        <v>-</v>
      </c>
      <c r="F4" s="9" t="str">
        <f>Logboek!C76</f>
        <v>-</v>
      </c>
      <c r="G4" s="9" t="str">
        <f>Logboek!C104</f>
        <v>-</v>
      </c>
      <c r="H4" s="9" t="str">
        <f>Logboek!C132</f>
        <v>-</v>
      </c>
      <c r="I4" s="9" t="str">
        <f>Logboek!C160</f>
        <v>-</v>
      </c>
      <c r="J4" s="9" t="str">
        <f>Logboek!C188</f>
        <v>-</v>
      </c>
      <c r="K4" s="10" t="str">
        <f>Logboek!C216</f>
        <v>-</v>
      </c>
    </row>
    <row r="5" spans="1:11" ht="14.25" customHeight="1" x14ac:dyDescent="0.2">
      <c r="A5" s="7" t="s">
        <v>14</v>
      </c>
      <c r="B5" s="8">
        <v>4</v>
      </c>
      <c r="C5" s="8">
        <f>COUNTIF(D5:K5, "V")</f>
        <v>3</v>
      </c>
      <c r="D5" s="9" t="str">
        <f>Logboek!C21</f>
        <v>V</v>
      </c>
      <c r="E5" s="9" t="str">
        <f>Logboek!C49</f>
        <v>V</v>
      </c>
      <c r="F5" s="9" t="str">
        <f>Logboek!C77</f>
        <v>V</v>
      </c>
      <c r="G5" s="9" t="str">
        <f>Logboek!C105</f>
        <v>-</v>
      </c>
      <c r="H5" s="9" t="str">
        <f>Logboek!C133</f>
        <v>-</v>
      </c>
      <c r="I5" s="9" t="str">
        <f>Logboek!C161</f>
        <v>-</v>
      </c>
      <c r="J5" s="9" t="str">
        <f>Logboek!C189</f>
        <v>-</v>
      </c>
      <c r="K5" s="10" t="str">
        <f>Logboek!C217</f>
        <v>-</v>
      </c>
    </row>
    <row r="6" spans="1:11" ht="14.25" customHeight="1" x14ac:dyDescent="0.2">
      <c r="A6" s="7" t="s">
        <v>15</v>
      </c>
      <c r="B6" s="8">
        <v>6</v>
      </c>
      <c r="C6" s="8">
        <f>COUNTIF(D6:K6, "V")</f>
        <v>3</v>
      </c>
      <c r="D6" s="9" t="str">
        <f>Logboek!C22</f>
        <v>V</v>
      </c>
      <c r="E6" s="9" t="str">
        <f>Logboek!C50</f>
        <v>V</v>
      </c>
      <c r="F6" s="9" t="str">
        <f>Logboek!C78</f>
        <v>V</v>
      </c>
      <c r="G6" s="9" t="str">
        <f>Logboek!C106</f>
        <v>-</v>
      </c>
      <c r="H6" s="9" t="str">
        <f>Logboek!C134</f>
        <v>-</v>
      </c>
      <c r="I6" s="9" t="str">
        <f>Logboek!C162</f>
        <v>-</v>
      </c>
      <c r="J6" s="9" t="str">
        <f>Logboek!C190</f>
        <v>-</v>
      </c>
      <c r="K6" s="10" t="str">
        <f>Logboek!C218</f>
        <v>-</v>
      </c>
    </row>
    <row r="7" spans="1:11" ht="14.25" customHeight="1" x14ac:dyDescent="0.2">
      <c r="A7" s="11" t="s">
        <v>16</v>
      </c>
      <c r="B7" s="12">
        <f>SUM(B2:B6)</f>
        <v>18</v>
      </c>
      <c r="C7" s="12">
        <f>SUM(D6:K7)</f>
        <v>11</v>
      </c>
      <c r="D7" s="13">
        <f t="shared" ref="D7:K7" si="0">COUNTIF(D2:D6, "V")</f>
        <v>4</v>
      </c>
      <c r="E7" s="13">
        <f t="shared" si="0"/>
        <v>3</v>
      </c>
      <c r="F7" s="13">
        <f t="shared" si="0"/>
        <v>4</v>
      </c>
      <c r="G7" s="13">
        <f t="shared" si="0"/>
        <v>0</v>
      </c>
      <c r="H7" s="13">
        <f t="shared" si="0"/>
        <v>0</v>
      </c>
      <c r="I7" s="13">
        <f t="shared" si="0"/>
        <v>0</v>
      </c>
      <c r="J7" s="13">
        <f t="shared" si="0"/>
        <v>0</v>
      </c>
      <c r="K7" s="14">
        <f t="shared" si="0"/>
        <v>0</v>
      </c>
    </row>
    <row r="9" spans="1:11" ht="15" customHeight="1" x14ac:dyDescent="0.2">
      <c r="A9" s="15" t="s">
        <v>17</v>
      </c>
      <c r="B9" s="107" t="s">
        <v>18</v>
      </c>
      <c r="C9" s="108"/>
      <c r="D9" s="108"/>
      <c r="E9" s="108"/>
      <c r="F9" s="108"/>
      <c r="G9" s="108"/>
      <c r="H9" s="108"/>
      <c r="I9" s="108"/>
      <c r="J9" s="108"/>
      <c r="K9" s="109"/>
    </row>
  </sheetData>
  <mergeCells count="1">
    <mergeCell ref="B9:K9"/>
  </mergeCells>
  <hyperlinks>
    <hyperlink ref="D1" location="Logboek!A1" display="Sprint 1" xr:uid="{00000000-0004-0000-0000-000000000000}"/>
    <hyperlink ref="E1" location="Logboek!A29" display="Sprint 2" xr:uid="{00000000-0004-0000-0000-000001000000}"/>
    <hyperlink ref="F1" location="Logboek!A57" display="Sprint 3" xr:uid="{00000000-0004-0000-0000-000002000000}"/>
    <hyperlink ref="G1" location="Logboek!A85" display="Sprint 4" xr:uid="{00000000-0004-0000-0000-000003000000}"/>
    <hyperlink ref="H1" location="Logboek!A113" display="Sprint 5" xr:uid="{00000000-0004-0000-0000-000004000000}"/>
    <hyperlink ref="I1" location="Logboek!A141" display="Sprint 6" xr:uid="{00000000-0004-0000-0000-000005000000}"/>
    <hyperlink ref="J1" location="Logboek!A169" display="Sprint 7" xr:uid="{00000000-0004-0000-0000-000006000000}"/>
    <hyperlink ref="K1" location="Logboek!A197" display="Sprint 8" xr:uid="{00000000-0004-0000-0000-000007000000}"/>
    <hyperlink ref="B9" r:id="rId1" xr:uid="{00000000-0004-0000-0000-000008000000}"/>
  </hyperlinks>
  <pageMargins left="0.7" right="0.7" top="0.75" bottom="0.75" header="0.511811023622047" footer="0.511811023622047"/>
  <pageSetup paperSize="9" orientation="portrait"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3"/>
  <sheetViews>
    <sheetView topLeftCell="A69" zoomScale="119" zoomScaleNormal="89" workbookViewId="0">
      <selection activeCell="B74" sqref="B74"/>
    </sheetView>
  </sheetViews>
  <sheetFormatPr baseColWidth="10" defaultColWidth="50.6640625" defaultRowHeight="15" outlineLevelRow="1" x14ac:dyDescent="0.2"/>
  <cols>
    <col min="1" max="1" width="9.5" customWidth="1"/>
  </cols>
  <sheetData>
    <row r="1" spans="1:4" ht="18" customHeight="1" x14ac:dyDescent="0.2">
      <c r="A1" s="110" t="s">
        <v>19</v>
      </c>
      <c r="B1" s="111"/>
      <c r="C1" s="111"/>
      <c r="D1" s="112"/>
    </row>
    <row r="2" spans="1:4" ht="15" customHeight="1" outlineLevel="1" x14ac:dyDescent="0.2">
      <c r="A2" s="16"/>
      <c r="B2" s="16"/>
      <c r="C2" s="16"/>
      <c r="D2" s="16"/>
    </row>
    <row r="3" spans="1:4" ht="15.75" customHeight="1" outlineLevel="1" x14ac:dyDescent="0.2">
      <c r="A3" s="17" t="s">
        <v>20</v>
      </c>
      <c r="B3" s="17"/>
      <c r="C3" s="18"/>
      <c r="D3" s="18" t="s">
        <v>21</v>
      </c>
    </row>
    <row r="4" spans="1:4" ht="15" customHeight="1" outlineLevel="1" x14ac:dyDescent="0.2">
      <c r="A4" s="19" t="s">
        <v>22</v>
      </c>
      <c r="B4" s="20" t="s">
        <v>23</v>
      </c>
      <c r="C4" s="20" t="s">
        <v>24</v>
      </c>
      <c r="D4" s="21" t="s">
        <v>25</v>
      </c>
    </row>
    <row r="5" spans="1:4" ht="168" customHeight="1" outlineLevel="1" x14ac:dyDescent="0.2">
      <c r="A5" s="22" t="s">
        <v>26</v>
      </c>
      <c r="B5" s="23" t="s">
        <v>27</v>
      </c>
      <c r="C5" s="23" t="s">
        <v>28</v>
      </c>
      <c r="D5" s="24" t="s">
        <v>29</v>
      </c>
    </row>
    <row r="6" spans="1:4" ht="162.75" customHeight="1" outlineLevel="1" x14ac:dyDescent="0.2">
      <c r="A6" s="22" t="s">
        <v>30</v>
      </c>
      <c r="B6" s="25" t="s">
        <v>31</v>
      </c>
      <c r="C6" s="23" t="s">
        <v>32</v>
      </c>
      <c r="D6" s="24" t="s">
        <v>33</v>
      </c>
    </row>
    <row r="7" spans="1:4" ht="156.75" customHeight="1" outlineLevel="1" x14ac:dyDescent="0.2">
      <c r="A7" s="22" t="s">
        <v>34</v>
      </c>
      <c r="B7" s="25" t="s">
        <v>35</v>
      </c>
      <c r="C7" s="23" t="s">
        <v>36</v>
      </c>
      <c r="D7" s="24" t="s">
        <v>37</v>
      </c>
    </row>
    <row r="8" spans="1:4" ht="42.75" customHeight="1" outlineLevel="1" x14ac:dyDescent="0.2">
      <c r="A8" s="22"/>
      <c r="B8" s="25"/>
      <c r="C8" s="23"/>
      <c r="D8" s="24"/>
    </row>
    <row r="9" spans="1:4" ht="43.5" customHeight="1" outlineLevel="1" x14ac:dyDescent="0.2">
      <c r="A9" s="26"/>
      <c r="B9" s="27"/>
      <c r="C9" s="28"/>
      <c r="D9" s="29"/>
    </row>
    <row r="10" spans="1:4" ht="15" customHeight="1" outlineLevel="1" x14ac:dyDescent="0.2">
      <c r="A10" s="16"/>
      <c r="B10" s="16"/>
      <c r="C10" s="16"/>
      <c r="D10" s="16"/>
    </row>
    <row r="11" spans="1:4" ht="15.75" customHeight="1" outlineLevel="1" x14ac:dyDescent="0.2">
      <c r="A11" s="17" t="s">
        <v>38</v>
      </c>
      <c r="B11" s="17"/>
      <c r="C11" s="17"/>
      <c r="D11" s="17"/>
    </row>
    <row r="12" spans="1:4" ht="15" customHeight="1" outlineLevel="1" x14ac:dyDescent="0.2">
      <c r="A12" s="19" t="s">
        <v>39</v>
      </c>
      <c r="B12" s="20" t="s">
        <v>40</v>
      </c>
      <c r="C12" s="30" t="s">
        <v>41</v>
      </c>
      <c r="D12" s="21" t="s">
        <v>42</v>
      </c>
    </row>
    <row r="13" spans="1:4" ht="15" customHeight="1" outlineLevel="1" x14ac:dyDescent="0.2">
      <c r="A13" s="31"/>
      <c r="B13" s="32"/>
      <c r="C13" s="33"/>
      <c r="D13" s="34"/>
    </row>
    <row r="14" spans="1:4" ht="15" customHeight="1" outlineLevel="1" x14ac:dyDescent="0.2">
      <c r="A14" s="35"/>
      <c r="B14" s="36"/>
      <c r="C14" s="33"/>
      <c r="D14" s="34"/>
    </row>
    <row r="15" spans="1:4" ht="15" customHeight="1" outlineLevel="1" x14ac:dyDescent="0.2">
      <c r="A15" s="37"/>
      <c r="B15" s="37"/>
      <c r="C15" s="37"/>
      <c r="D15" s="37"/>
    </row>
    <row r="16" spans="1:4" ht="15.75" customHeight="1" outlineLevel="1" x14ac:dyDescent="0.2">
      <c r="A16" s="38" t="s">
        <v>43</v>
      </c>
      <c r="B16" s="38"/>
      <c r="C16" s="38"/>
      <c r="D16" s="38"/>
    </row>
    <row r="17" spans="1:4" ht="15" customHeight="1" outlineLevel="1" x14ac:dyDescent="0.2">
      <c r="A17" s="19" t="s">
        <v>0</v>
      </c>
      <c r="B17" s="20" t="s">
        <v>44</v>
      </c>
      <c r="C17" s="20" t="s">
        <v>45</v>
      </c>
      <c r="D17" s="21" t="s">
        <v>46</v>
      </c>
    </row>
    <row r="18" spans="1:4" ht="148.5" customHeight="1" outlineLevel="1" x14ac:dyDescent="0.2">
      <c r="A18" s="39" t="s">
        <v>47</v>
      </c>
      <c r="B18" s="33" t="s">
        <v>48</v>
      </c>
      <c r="C18" s="40" t="s">
        <v>49</v>
      </c>
      <c r="D18" s="24" t="s">
        <v>50</v>
      </c>
    </row>
    <row r="19" spans="1:4" ht="36.75" customHeight="1" outlineLevel="1" x14ac:dyDescent="0.2">
      <c r="A19" s="39" t="s">
        <v>51</v>
      </c>
      <c r="B19" s="33" t="s">
        <v>52</v>
      </c>
      <c r="C19" s="40" t="s">
        <v>49</v>
      </c>
      <c r="D19" s="24" t="s">
        <v>53</v>
      </c>
    </row>
    <row r="20" spans="1:4" ht="45" customHeight="1" outlineLevel="1" x14ac:dyDescent="0.2">
      <c r="A20" s="39" t="s">
        <v>54</v>
      </c>
      <c r="B20" s="33" t="s">
        <v>55</v>
      </c>
      <c r="C20" s="40" t="s">
        <v>56</v>
      </c>
      <c r="D20" s="24" t="s">
        <v>53</v>
      </c>
    </row>
    <row r="21" spans="1:4" ht="192.75" customHeight="1" outlineLevel="1" x14ac:dyDescent="0.2">
      <c r="A21" s="39" t="s">
        <v>57</v>
      </c>
      <c r="B21" s="33" t="s">
        <v>58</v>
      </c>
      <c r="C21" s="40" t="s">
        <v>49</v>
      </c>
      <c r="D21" s="24" t="s">
        <v>59</v>
      </c>
    </row>
    <row r="22" spans="1:4" ht="207.75" customHeight="1" outlineLevel="1" x14ac:dyDescent="0.2">
      <c r="A22" s="41" t="s">
        <v>60</v>
      </c>
      <c r="B22" s="42" t="s">
        <v>61</v>
      </c>
      <c r="C22" s="43" t="s">
        <v>49</v>
      </c>
      <c r="D22" s="29" t="s">
        <v>62</v>
      </c>
    </row>
    <row r="23" spans="1:4" ht="15" customHeight="1" outlineLevel="1" x14ac:dyDescent="0.2">
      <c r="A23" s="16"/>
      <c r="B23" s="44"/>
      <c r="C23" s="45"/>
      <c r="D23" s="45"/>
    </row>
    <row r="24" spans="1:4" ht="15.75" customHeight="1" outlineLevel="1" x14ac:dyDescent="0.2">
      <c r="A24" s="17" t="s">
        <v>63</v>
      </c>
      <c r="B24" s="46"/>
      <c r="C24" s="47"/>
      <c r="D24" s="47"/>
    </row>
    <row r="25" spans="1:4" ht="15" customHeight="1" outlineLevel="1" x14ac:dyDescent="0.2">
      <c r="A25" s="19" t="s">
        <v>39</v>
      </c>
      <c r="B25" s="48" t="s">
        <v>64</v>
      </c>
      <c r="C25" s="49" t="s">
        <v>65</v>
      </c>
      <c r="D25" s="21" t="s">
        <v>66</v>
      </c>
    </row>
    <row r="26" spans="1:4" ht="87" customHeight="1" outlineLevel="1" x14ac:dyDescent="0.2">
      <c r="A26" s="101">
        <v>46281</v>
      </c>
      <c r="B26" s="102" t="s">
        <v>67</v>
      </c>
      <c r="C26" s="50" t="s">
        <v>68</v>
      </c>
      <c r="D26" s="50" t="s">
        <v>69</v>
      </c>
    </row>
    <row r="27" spans="1:4" ht="60" customHeight="1" outlineLevel="1" x14ac:dyDescent="0.2">
      <c r="A27" s="101">
        <v>46281</v>
      </c>
      <c r="B27" s="102" t="s">
        <v>70</v>
      </c>
      <c r="C27" s="50" t="s">
        <v>71</v>
      </c>
      <c r="D27" s="50" t="s">
        <v>72</v>
      </c>
    </row>
    <row r="28" spans="1:4" ht="60" customHeight="1" x14ac:dyDescent="0.2">
      <c r="A28" s="101">
        <v>46281</v>
      </c>
      <c r="B28" s="102" t="s">
        <v>73</v>
      </c>
      <c r="C28" s="50" t="s">
        <v>74</v>
      </c>
      <c r="D28" s="50" t="s">
        <v>75</v>
      </c>
    </row>
    <row r="29" spans="1:4" ht="18" customHeight="1" x14ac:dyDescent="0.2">
      <c r="A29" s="113" t="s">
        <v>76</v>
      </c>
      <c r="B29" s="114"/>
      <c r="C29" s="114"/>
      <c r="D29" s="115"/>
    </row>
    <row r="30" spans="1:4" ht="15" customHeight="1" outlineLevel="1" x14ac:dyDescent="0.2">
      <c r="A30" s="52"/>
      <c r="B30" s="52"/>
      <c r="C30" s="52"/>
      <c r="D30" s="52"/>
    </row>
    <row r="31" spans="1:4" ht="15" customHeight="1" outlineLevel="1" x14ac:dyDescent="0.2">
      <c r="A31" s="53" t="s">
        <v>77</v>
      </c>
      <c r="B31" s="53"/>
      <c r="C31" s="53"/>
      <c r="D31" s="18" t="s">
        <v>21</v>
      </c>
    </row>
    <row r="32" spans="1:4" ht="15" customHeight="1" outlineLevel="1" x14ac:dyDescent="0.2">
      <c r="A32" s="54" t="s">
        <v>22</v>
      </c>
      <c r="B32" s="55" t="s">
        <v>23</v>
      </c>
      <c r="C32" s="55" t="s">
        <v>24</v>
      </c>
      <c r="D32" s="56" t="s">
        <v>25</v>
      </c>
    </row>
    <row r="33" spans="1:4" ht="141" customHeight="1" outlineLevel="1" x14ac:dyDescent="0.2">
      <c r="A33" s="57" t="s">
        <v>34</v>
      </c>
      <c r="B33" s="58" t="s">
        <v>78</v>
      </c>
      <c r="C33" s="59" t="s">
        <v>79</v>
      </c>
      <c r="D33" s="60" t="s">
        <v>80</v>
      </c>
    </row>
    <row r="34" spans="1:4" ht="143" customHeight="1" outlineLevel="1" x14ac:dyDescent="0.2">
      <c r="A34" s="57" t="s">
        <v>26</v>
      </c>
      <c r="B34" s="58" t="s">
        <v>81</v>
      </c>
      <c r="C34" s="59" t="s">
        <v>82</v>
      </c>
      <c r="D34" s="60" t="s">
        <v>83</v>
      </c>
    </row>
    <row r="35" spans="1:4" ht="125" customHeight="1" outlineLevel="1" x14ac:dyDescent="0.2">
      <c r="A35" s="57" t="s">
        <v>30</v>
      </c>
      <c r="B35" s="58" t="s">
        <v>84</v>
      </c>
      <c r="C35" s="59" t="s">
        <v>85</v>
      </c>
      <c r="D35" s="60" t="s">
        <v>86</v>
      </c>
    </row>
    <row r="36" spans="1:4" ht="42.75" customHeight="1" outlineLevel="1" x14ac:dyDescent="0.2">
      <c r="A36" s="57"/>
      <c r="B36" s="58"/>
      <c r="C36" s="59"/>
      <c r="D36" s="60"/>
    </row>
    <row r="37" spans="1:4" ht="42.75" customHeight="1" outlineLevel="1" x14ac:dyDescent="0.2">
      <c r="A37" s="61"/>
      <c r="B37" s="62"/>
      <c r="C37" s="63"/>
      <c r="D37" s="64"/>
    </row>
    <row r="38" spans="1:4" ht="15" customHeight="1" outlineLevel="1" x14ac:dyDescent="0.2">
      <c r="A38" s="52"/>
      <c r="B38" s="52"/>
      <c r="C38" s="52"/>
      <c r="D38" s="52"/>
    </row>
    <row r="39" spans="1:4" ht="15" customHeight="1" outlineLevel="1" x14ac:dyDescent="0.2">
      <c r="A39" s="53" t="s">
        <v>38</v>
      </c>
      <c r="B39" s="53"/>
      <c r="C39" s="53"/>
      <c r="D39" s="53"/>
    </row>
    <row r="40" spans="1:4" ht="15" customHeight="1" outlineLevel="1" x14ac:dyDescent="0.2">
      <c r="A40" s="54" t="s">
        <v>39</v>
      </c>
      <c r="B40" s="55" t="s">
        <v>40</v>
      </c>
      <c r="C40" s="55" t="s">
        <v>41</v>
      </c>
      <c r="D40" s="56" t="s">
        <v>42</v>
      </c>
    </row>
    <row r="41" spans="1:4" ht="45" customHeight="1" outlineLevel="1" x14ac:dyDescent="0.2">
      <c r="A41" s="65">
        <v>46288</v>
      </c>
      <c r="B41" s="59" t="s">
        <v>87</v>
      </c>
      <c r="C41" s="59" t="s">
        <v>88</v>
      </c>
      <c r="D41" s="60" t="s">
        <v>89</v>
      </c>
    </row>
    <row r="42" spans="1:4" ht="82.5" customHeight="1" outlineLevel="1" x14ac:dyDescent="0.2">
      <c r="A42" s="66">
        <v>46292</v>
      </c>
      <c r="B42" s="67" t="s">
        <v>90</v>
      </c>
      <c r="C42" s="67" t="s">
        <v>91</v>
      </c>
      <c r="D42" s="68" t="s">
        <v>92</v>
      </c>
    </row>
    <row r="43" spans="1:4" ht="15" customHeight="1" outlineLevel="1" x14ac:dyDescent="0.2">
      <c r="A43" s="69"/>
      <c r="B43" s="70"/>
      <c r="C43" s="70"/>
      <c r="D43" s="71"/>
    </row>
    <row r="44" spans="1:4" ht="15.75" customHeight="1" outlineLevel="1" x14ac:dyDescent="0.2">
      <c r="A44" s="72" t="s">
        <v>43</v>
      </c>
      <c r="B44" s="72"/>
      <c r="C44" s="72"/>
      <c r="D44" s="72"/>
    </row>
    <row r="45" spans="1:4" ht="15" customHeight="1" outlineLevel="1" x14ac:dyDescent="0.2">
      <c r="A45" s="54" t="s">
        <v>0</v>
      </c>
      <c r="B45" s="55" t="s">
        <v>44</v>
      </c>
      <c r="C45" s="55" t="s">
        <v>45</v>
      </c>
      <c r="D45" s="56" t="s">
        <v>46</v>
      </c>
    </row>
    <row r="46" spans="1:4" ht="15" customHeight="1" outlineLevel="1" x14ac:dyDescent="0.2">
      <c r="A46" s="73" t="s">
        <v>47</v>
      </c>
      <c r="B46" s="74" t="s">
        <v>48</v>
      </c>
      <c r="C46" s="75" t="s">
        <v>56</v>
      </c>
      <c r="D46" s="60"/>
    </row>
    <row r="47" spans="1:4" ht="170" customHeight="1" outlineLevel="1" x14ac:dyDescent="0.2">
      <c r="A47" s="73" t="s">
        <v>51</v>
      </c>
      <c r="B47" s="74" t="s">
        <v>52</v>
      </c>
      <c r="C47" s="75" t="s">
        <v>49</v>
      </c>
      <c r="D47" s="60" t="s">
        <v>93</v>
      </c>
    </row>
    <row r="48" spans="1:4" ht="15" customHeight="1" outlineLevel="1" x14ac:dyDescent="0.2">
      <c r="A48" s="73" t="s">
        <v>54</v>
      </c>
      <c r="B48" s="74" t="s">
        <v>55</v>
      </c>
      <c r="C48" s="75" t="s">
        <v>56</v>
      </c>
      <c r="D48" s="60"/>
    </row>
    <row r="49" spans="1:4" ht="169" customHeight="1" outlineLevel="1" x14ac:dyDescent="0.2">
      <c r="A49" s="73" t="s">
        <v>57</v>
      </c>
      <c r="B49" s="74" t="s">
        <v>58</v>
      </c>
      <c r="C49" s="75" t="s">
        <v>49</v>
      </c>
      <c r="D49" s="60" t="s">
        <v>94</v>
      </c>
    </row>
    <row r="50" spans="1:4" ht="175" customHeight="1" outlineLevel="1" x14ac:dyDescent="0.2">
      <c r="A50" s="76" t="s">
        <v>60</v>
      </c>
      <c r="B50" s="77" t="s">
        <v>61</v>
      </c>
      <c r="C50" s="78" t="s">
        <v>49</v>
      </c>
      <c r="D50" s="64" t="s">
        <v>95</v>
      </c>
    </row>
    <row r="51" spans="1:4" ht="15" customHeight="1" outlineLevel="1" x14ac:dyDescent="0.2">
      <c r="A51" s="52"/>
      <c r="B51" s="79"/>
      <c r="C51" s="80"/>
      <c r="D51" s="80"/>
    </row>
    <row r="52" spans="1:4" ht="15" customHeight="1" outlineLevel="1" x14ac:dyDescent="0.2">
      <c r="A52" s="53" t="s">
        <v>63</v>
      </c>
      <c r="B52" s="81"/>
      <c r="C52" s="82"/>
      <c r="D52" s="82"/>
    </row>
    <row r="53" spans="1:4" ht="15" customHeight="1" outlineLevel="1" x14ac:dyDescent="0.2">
      <c r="A53" s="54" t="s">
        <v>39</v>
      </c>
      <c r="B53" s="83" t="s">
        <v>64</v>
      </c>
      <c r="C53" s="84" t="s">
        <v>65</v>
      </c>
      <c r="D53" s="56" t="s">
        <v>66</v>
      </c>
    </row>
    <row r="54" spans="1:4" ht="60" customHeight="1" outlineLevel="1" x14ac:dyDescent="0.2">
      <c r="A54" s="103">
        <v>46294</v>
      </c>
      <c r="B54" s="104" t="s">
        <v>96</v>
      </c>
      <c r="C54" s="105" t="s">
        <v>97</v>
      </c>
      <c r="D54" s="106" t="s">
        <v>98</v>
      </c>
    </row>
    <row r="55" spans="1:4" ht="73.5" customHeight="1" outlineLevel="1" x14ac:dyDescent="0.2">
      <c r="A55" s="103">
        <v>46294</v>
      </c>
      <c r="B55" s="104" t="s">
        <v>99</v>
      </c>
      <c r="C55" s="105" t="s">
        <v>100</v>
      </c>
      <c r="D55" s="106" t="s">
        <v>101</v>
      </c>
    </row>
    <row r="56" spans="1:4" ht="15" customHeight="1" x14ac:dyDescent="0.2">
      <c r="A56" s="69"/>
      <c r="B56" s="70"/>
      <c r="C56" s="70"/>
      <c r="D56" s="71"/>
    </row>
    <row r="57" spans="1:4" ht="18" customHeight="1" x14ac:dyDescent="0.2">
      <c r="A57" s="116" t="s">
        <v>102</v>
      </c>
      <c r="B57" s="114"/>
      <c r="C57" s="114"/>
      <c r="D57" s="115"/>
    </row>
    <row r="58" spans="1:4" ht="15" customHeight="1" outlineLevel="1" x14ac:dyDescent="0.2">
      <c r="A58" s="16"/>
      <c r="B58" s="16"/>
      <c r="C58" s="16"/>
      <c r="D58" s="16"/>
    </row>
    <row r="59" spans="1:4" ht="15" customHeight="1" outlineLevel="1" x14ac:dyDescent="0.2">
      <c r="A59" s="17" t="s">
        <v>77</v>
      </c>
      <c r="B59" s="17"/>
      <c r="C59" s="17"/>
      <c r="D59" s="18" t="s">
        <v>21</v>
      </c>
    </row>
    <row r="60" spans="1:4" ht="15" customHeight="1" outlineLevel="1" x14ac:dyDescent="0.2">
      <c r="A60" s="19" t="s">
        <v>22</v>
      </c>
      <c r="B60" s="20" t="s">
        <v>23</v>
      </c>
      <c r="C60" s="20" t="s">
        <v>24</v>
      </c>
      <c r="D60" s="21" t="s">
        <v>25</v>
      </c>
    </row>
    <row r="61" spans="1:4" ht="183" outlineLevel="1" x14ac:dyDescent="0.2">
      <c r="A61" s="22" t="s">
        <v>30</v>
      </c>
      <c r="B61" s="25" t="s">
        <v>125</v>
      </c>
      <c r="C61" s="23" t="s">
        <v>111</v>
      </c>
      <c r="D61" s="24" t="s">
        <v>112</v>
      </c>
    </row>
    <row r="62" spans="1:4" ht="155" outlineLevel="1" x14ac:dyDescent="0.2">
      <c r="A62" s="22" t="s">
        <v>30</v>
      </c>
      <c r="B62" s="25" t="s">
        <v>126</v>
      </c>
      <c r="C62" s="23" t="s">
        <v>113</v>
      </c>
      <c r="D62" s="24" t="s">
        <v>114</v>
      </c>
    </row>
    <row r="63" spans="1:4" ht="127" outlineLevel="1" x14ac:dyDescent="0.2">
      <c r="A63" s="22" t="s">
        <v>26</v>
      </c>
      <c r="B63" s="25" t="s">
        <v>127</v>
      </c>
      <c r="C63" s="23" t="s">
        <v>115</v>
      </c>
      <c r="D63" s="24" t="s">
        <v>116</v>
      </c>
    </row>
    <row r="64" spans="1:4" ht="42.75" customHeight="1" outlineLevel="1" x14ac:dyDescent="0.2">
      <c r="A64" s="22"/>
      <c r="B64" s="25" t="s">
        <v>103</v>
      </c>
      <c r="C64" s="23" t="s">
        <v>104</v>
      </c>
      <c r="D64" s="24" t="s">
        <v>104</v>
      </c>
    </row>
    <row r="65" spans="1:4" ht="42.75" customHeight="1" outlineLevel="1" x14ac:dyDescent="0.2">
      <c r="A65" s="26"/>
      <c r="B65" s="27" t="s">
        <v>103</v>
      </c>
      <c r="C65" s="28" t="s">
        <v>104</v>
      </c>
      <c r="D65" s="29" t="s">
        <v>104</v>
      </c>
    </row>
    <row r="66" spans="1:4" ht="15" customHeight="1" outlineLevel="1" x14ac:dyDescent="0.2">
      <c r="A66" s="16"/>
      <c r="B66" s="16"/>
      <c r="C66" s="16"/>
      <c r="D66" s="16"/>
    </row>
    <row r="67" spans="1:4" ht="15" customHeight="1" outlineLevel="1" x14ac:dyDescent="0.2">
      <c r="A67" s="17" t="s">
        <v>38</v>
      </c>
      <c r="B67" s="17"/>
      <c r="C67" s="17"/>
      <c r="D67" s="17"/>
    </row>
    <row r="68" spans="1:4" ht="15" customHeight="1" outlineLevel="1" x14ac:dyDescent="0.2">
      <c r="A68" s="19" t="s">
        <v>39</v>
      </c>
      <c r="B68" s="20" t="s">
        <v>40</v>
      </c>
      <c r="C68" s="20" t="s">
        <v>41</v>
      </c>
      <c r="D68" s="21" t="s">
        <v>42</v>
      </c>
    </row>
    <row r="69" spans="1:4" ht="71" outlineLevel="1" x14ac:dyDescent="0.2">
      <c r="A69" s="31">
        <v>46303</v>
      </c>
      <c r="B69" s="23" t="s">
        <v>117</v>
      </c>
      <c r="C69" s="23" t="s">
        <v>118</v>
      </c>
      <c r="D69" s="24" t="s">
        <v>119</v>
      </c>
    </row>
    <row r="70" spans="1:4" ht="15" customHeight="1" outlineLevel="1" x14ac:dyDescent="0.2">
      <c r="A70" s="35"/>
      <c r="B70" s="87"/>
      <c r="C70" s="87"/>
      <c r="D70" s="88"/>
    </row>
    <row r="71" spans="1:4" ht="15" customHeight="1" outlineLevel="1" x14ac:dyDescent="0.2">
      <c r="A71" s="89"/>
      <c r="B71" s="37"/>
      <c r="C71" s="37"/>
      <c r="D71" s="90"/>
    </row>
    <row r="72" spans="1:4" ht="15.75" customHeight="1" outlineLevel="1" x14ac:dyDescent="0.2">
      <c r="A72" s="38" t="s">
        <v>43</v>
      </c>
      <c r="B72" s="38"/>
      <c r="C72" s="38"/>
      <c r="D72" s="38"/>
    </row>
    <row r="73" spans="1:4" ht="15" customHeight="1" outlineLevel="1" x14ac:dyDescent="0.2">
      <c r="A73" s="19" t="s">
        <v>0</v>
      </c>
      <c r="B73" s="20" t="s">
        <v>44</v>
      </c>
      <c r="C73" s="20" t="s">
        <v>45</v>
      </c>
      <c r="D73" s="21" t="s">
        <v>46</v>
      </c>
    </row>
    <row r="74" spans="1:4" ht="169" outlineLevel="1" x14ac:dyDescent="0.2">
      <c r="A74" s="39" t="s">
        <v>47</v>
      </c>
      <c r="B74" s="33" t="s">
        <v>48</v>
      </c>
      <c r="C74" s="40" t="s">
        <v>49</v>
      </c>
      <c r="D74" s="24" t="s">
        <v>120</v>
      </c>
    </row>
    <row r="75" spans="1:4" ht="141" outlineLevel="1" x14ac:dyDescent="0.2">
      <c r="A75" s="39" t="s">
        <v>51</v>
      </c>
      <c r="B75" s="33" t="s">
        <v>52</v>
      </c>
      <c r="C75" s="40" t="s">
        <v>49</v>
      </c>
      <c r="D75" s="24" t="s">
        <v>121</v>
      </c>
    </row>
    <row r="76" spans="1:4" ht="85" outlineLevel="1" x14ac:dyDescent="0.2">
      <c r="A76" s="39" t="s">
        <v>54</v>
      </c>
      <c r="B76" s="33" t="s">
        <v>55</v>
      </c>
      <c r="C76" s="40" t="s">
        <v>56</v>
      </c>
      <c r="D76" s="24" t="s">
        <v>122</v>
      </c>
    </row>
    <row r="77" spans="1:4" ht="99" outlineLevel="1" x14ac:dyDescent="0.2">
      <c r="A77" s="39" t="s">
        <v>57</v>
      </c>
      <c r="B77" s="33" t="s">
        <v>58</v>
      </c>
      <c r="C77" s="40" t="s">
        <v>49</v>
      </c>
      <c r="D77" s="24" t="s">
        <v>123</v>
      </c>
    </row>
    <row r="78" spans="1:4" ht="113" outlineLevel="1" x14ac:dyDescent="0.2">
      <c r="A78" s="41" t="s">
        <v>60</v>
      </c>
      <c r="B78" s="42" t="s">
        <v>61</v>
      </c>
      <c r="C78" s="43" t="s">
        <v>49</v>
      </c>
      <c r="D78" s="29" t="s">
        <v>124</v>
      </c>
    </row>
    <row r="79" spans="1:4" ht="15" customHeight="1" outlineLevel="1" x14ac:dyDescent="0.2">
      <c r="A79" s="16"/>
      <c r="B79" s="44"/>
      <c r="C79" s="45"/>
      <c r="D79" s="45"/>
    </row>
    <row r="80" spans="1:4" ht="15" customHeight="1" outlineLevel="1" x14ac:dyDescent="0.2">
      <c r="A80" s="17" t="s">
        <v>63</v>
      </c>
      <c r="B80" s="46"/>
      <c r="C80" s="47"/>
      <c r="D80" s="47"/>
    </row>
    <row r="81" spans="1:4" ht="15" customHeight="1" outlineLevel="1" x14ac:dyDescent="0.2">
      <c r="A81" s="19" t="s">
        <v>39</v>
      </c>
      <c r="B81" s="48" t="s">
        <v>64</v>
      </c>
      <c r="C81" s="49" t="s">
        <v>65</v>
      </c>
      <c r="D81" s="21" t="s">
        <v>66</v>
      </c>
    </row>
    <row r="82" spans="1:4" ht="103" customHeight="1" outlineLevel="1" x14ac:dyDescent="0.2">
      <c r="A82" s="31"/>
      <c r="B82" s="23" t="s">
        <v>128</v>
      </c>
      <c r="C82" s="50" t="s">
        <v>129</v>
      </c>
      <c r="D82" s="50" t="s">
        <v>130</v>
      </c>
    </row>
    <row r="83" spans="1:4" ht="15" customHeight="1" outlineLevel="1" x14ac:dyDescent="0.2">
      <c r="A83" s="51"/>
      <c r="B83" s="91"/>
      <c r="C83" s="50"/>
      <c r="D83" s="50"/>
    </row>
    <row r="84" spans="1:4" ht="15" customHeight="1" x14ac:dyDescent="0.2">
      <c r="A84" s="89"/>
      <c r="B84" s="37"/>
      <c r="C84" s="37"/>
      <c r="D84" s="90"/>
    </row>
    <row r="85" spans="1:4" ht="18" customHeight="1" x14ac:dyDescent="0.2">
      <c r="A85" s="113" t="s">
        <v>105</v>
      </c>
      <c r="B85" s="114"/>
      <c r="C85" s="114"/>
      <c r="D85" s="115"/>
    </row>
    <row r="86" spans="1:4" ht="15" customHeight="1" outlineLevel="1" x14ac:dyDescent="0.2">
      <c r="A86" s="52"/>
      <c r="B86" s="52"/>
      <c r="C86" s="52"/>
      <c r="D86" s="52"/>
    </row>
    <row r="87" spans="1:4" ht="15" customHeight="1" outlineLevel="1" x14ac:dyDescent="0.2">
      <c r="A87" s="53" t="s">
        <v>77</v>
      </c>
      <c r="B87" s="53"/>
      <c r="C87" s="53"/>
      <c r="D87" s="18" t="s">
        <v>21</v>
      </c>
    </row>
    <row r="88" spans="1:4" ht="15" customHeight="1" outlineLevel="1" x14ac:dyDescent="0.2">
      <c r="A88" s="54" t="s">
        <v>22</v>
      </c>
      <c r="B88" s="55" t="s">
        <v>23</v>
      </c>
      <c r="C88" s="55" t="s">
        <v>24</v>
      </c>
      <c r="D88" s="56" t="s">
        <v>25</v>
      </c>
    </row>
    <row r="89" spans="1:4" ht="42.75" customHeight="1" outlineLevel="1" x14ac:dyDescent="0.2">
      <c r="A89" s="57" t="s">
        <v>30</v>
      </c>
      <c r="B89" s="58" t="s">
        <v>103</v>
      </c>
      <c r="C89" s="59" t="s">
        <v>104</v>
      </c>
      <c r="D89" s="60" t="s">
        <v>104</v>
      </c>
    </row>
    <row r="90" spans="1:4" ht="42.75" customHeight="1" outlineLevel="1" x14ac:dyDescent="0.2">
      <c r="A90" s="57"/>
      <c r="B90" s="58" t="s">
        <v>103</v>
      </c>
      <c r="C90" s="59" t="s">
        <v>104</v>
      </c>
      <c r="D90" s="60" t="s">
        <v>104</v>
      </c>
    </row>
    <row r="91" spans="1:4" ht="42.75" customHeight="1" outlineLevel="1" x14ac:dyDescent="0.2">
      <c r="A91" s="57"/>
      <c r="B91" s="58" t="s">
        <v>103</v>
      </c>
      <c r="C91" s="59" t="s">
        <v>104</v>
      </c>
      <c r="D91" s="60" t="s">
        <v>104</v>
      </c>
    </row>
    <row r="92" spans="1:4" ht="42.75" customHeight="1" outlineLevel="1" x14ac:dyDescent="0.2">
      <c r="A92" s="57"/>
      <c r="B92" s="58" t="s">
        <v>103</v>
      </c>
      <c r="C92" s="59" t="s">
        <v>104</v>
      </c>
      <c r="D92" s="60" t="s">
        <v>104</v>
      </c>
    </row>
    <row r="93" spans="1:4" ht="42.75" customHeight="1" outlineLevel="1" x14ac:dyDescent="0.2">
      <c r="A93" s="61"/>
      <c r="B93" s="62" t="s">
        <v>103</v>
      </c>
      <c r="C93" s="63" t="s">
        <v>104</v>
      </c>
      <c r="D93" s="64" t="s">
        <v>104</v>
      </c>
    </row>
    <row r="94" spans="1:4" ht="15" customHeight="1" outlineLevel="1" x14ac:dyDescent="0.2">
      <c r="A94" s="52"/>
      <c r="B94" s="52"/>
      <c r="C94" s="52"/>
      <c r="D94" s="52"/>
    </row>
    <row r="95" spans="1:4" ht="15" customHeight="1" outlineLevel="1" x14ac:dyDescent="0.2">
      <c r="A95" s="53" t="s">
        <v>38</v>
      </c>
      <c r="B95" s="53"/>
      <c r="C95" s="53"/>
      <c r="D95" s="53"/>
    </row>
    <row r="96" spans="1:4" ht="15" customHeight="1" outlineLevel="1" x14ac:dyDescent="0.2">
      <c r="A96" s="54" t="s">
        <v>39</v>
      </c>
      <c r="B96" s="55" t="s">
        <v>40</v>
      </c>
      <c r="C96" s="55" t="s">
        <v>41</v>
      </c>
      <c r="D96" s="56" t="s">
        <v>42</v>
      </c>
    </row>
    <row r="97" spans="1:4" ht="15" customHeight="1" outlineLevel="1" x14ac:dyDescent="0.2">
      <c r="A97" s="65"/>
      <c r="B97" s="59"/>
      <c r="C97" s="59"/>
      <c r="D97" s="60"/>
    </row>
    <row r="98" spans="1:4" ht="15" customHeight="1" outlineLevel="1" x14ac:dyDescent="0.2">
      <c r="A98" s="66"/>
      <c r="B98" s="67"/>
      <c r="C98" s="67"/>
      <c r="D98" s="68"/>
    </row>
    <row r="99" spans="1:4" ht="15" customHeight="1" outlineLevel="1" x14ac:dyDescent="0.2">
      <c r="A99" s="69"/>
      <c r="B99" s="70"/>
      <c r="C99" s="70"/>
      <c r="D99" s="71"/>
    </row>
    <row r="100" spans="1:4" ht="15.75" customHeight="1" outlineLevel="1" x14ac:dyDescent="0.2">
      <c r="A100" s="72" t="s">
        <v>43</v>
      </c>
      <c r="B100" s="72"/>
      <c r="C100" s="72"/>
      <c r="D100" s="72"/>
    </row>
    <row r="101" spans="1:4" ht="15" customHeight="1" outlineLevel="1" x14ac:dyDescent="0.2">
      <c r="A101" s="54" t="s">
        <v>0</v>
      </c>
      <c r="B101" s="55" t="s">
        <v>44</v>
      </c>
      <c r="C101" s="55" t="s">
        <v>45</v>
      </c>
      <c r="D101" s="56" t="s">
        <v>46</v>
      </c>
    </row>
    <row r="102" spans="1:4" ht="15" customHeight="1" outlineLevel="1" x14ac:dyDescent="0.2">
      <c r="A102" s="73" t="s">
        <v>47</v>
      </c>
      <c r="B102" s="74" t="s">
        <v>48</v>
      </c>
      <c r="C102" s="75" t="s">
        <v>56</v>
      </c>
      <c r="D102" s="60"/>
    </row>
    <row r="103" spans="1:4" ht="28.5" customHeight="1" outlineLevel="1" x14ac:dyDescent="0.2">
      <c r="A103" s="73" t="s">
        <v>51</v>
      </c>
      <c r="B103" s="74" t="s">
        <v>52</v>
      </c>
      <c r="C103" s="75" t="s">
        <v>56</v>
      </c>
      <c r="D103" s="60"/>
    </row>
    <row r="104" spans="1:4" ht="15" customHeight="1" outlineLevel="1" x14ac:dyDescent="0.2">
      <c r="A104" s="73" t="s">
        <v>54</v>
      </c>
      <c r="B104" s="74" t="s">
        <v>55</v>
      </c>
      <c r="C104" s="75" t="s">
        <v>56</v>
      </c>
      <c r="D104" s="60"/>
    </row>
    <row r="105" spans="1:4" ht="15" customHeight="1" outlineLevel="1" x14ac:dyDescent="0.2">
      <c r="A105" s="73" t="s">
        <v>57</v>
      </c>
      <c r="B105" s="74" t="s">
        <v>58</v>
      </c>
      <c r="C105" s="75" t="s">
        <v>56</v>
      </c>
      <c r="D105" s="60"/>
    </row>
    <row r="106" spans="1:4" ht="15" customHeight="1" outlineLevel="1" x14ac:dyDescent="0.2">
      <c r="A106" s="76" t="s">
        <v>60</v>
      </c>
      <c r="B106" s="77" t="s">
        <v>61</v>
      </c>
      <c r="C106" s="78" t="s">
        <v>56</v>
      </c>
      <c r="D106" s="64"/>
    </row>
    <row r="107" spans="1:4" ht="15" customHeight="1" outlineLevel="1" x14ac:dyDescent="0.2">
      <c r="A107" s="52"/>
      <c r="B107" s="79"/>
      <c r="C107" s="80"/>
      <c r="D107" s="80"/>
    </row>
    <row r="108" spans="1:4" ht="15" customHeight="1" outlineLevel="1" x14ac:dyDescent="0.2">
      <c r="A108" s="53" t="s">
        <v>63</v>
      </c>
      <c r="B108" s="81"/>
      <c r="C108" s="82"/>
      <c r="D108" s="82"/>
    </row>
    <row r="109" spans="1:4" ht="15" customHeight="1" outlineLevel="1" x14ac:dyDescent="0.2">
      <c r="A109" s="54" t="s">
        <v>39</v>
      </c>
      <c r="B109" s="83" t="s">
        <v>64</v>
      </c>
      <c r="C109" s="84" t="s">
        <v>65</v>
      </c>
      <c r="D109" s="56" t="s">
        <v>66</v>
      </c>
    </row>
    <row r="110" spans="1:4" ht="15" customHeight="1" outlineLevel="1" x14ac:dyDescent="0.2">
      <c r="A110" s="65"/>
      <c r="B110" s="59"/>
      <c r="C110" s="59"/>
      <c r="D110" s="60"/>
    </row>
    <row r="111" spans="1:4" ht="15" customHeight="1" outlineLevel="1" x14ac:dyDescent="0.2">
      <c r="A111" s="85"/>
      <c r="B111" s="86"/>
      <c r="C111" s="67"/>
      <c r="D111" s="68"/>
    </row>
    <row r="112" spans="1:4" ht="15" customHeight="1" x14ac:dyDescent="0.2">
      <c r="A112" s="69"/>
      <c r="B112" s="70"/>
      <c r="C112" s="70"/>
      <c r="D112" s="71"/>
    </row>
    <row r="113" spans="1:4" ht="18" customHeight="1" x14ac:dyDescent="0.2">
      <c r="A113" s="116" t="s">
        <v>106</v>
      </c>
      <c r="B113" s="114"/>
      <c r="C113" s="114"/>
      <c r="D113" s="115"/>
    </row>
    <row r="114" spans="1:4" ht="15" customHeight="1" outlineLevel="1" x14ac:dyDescent="0.2">
      <c r="A114" s="16"/>
      <c r="B114" s="16"/>
      <c r="C114" s="16"/>
      <c r="D114" s="16"/>
    </row>
    <row r="115" spans="1:4" ht="15" customHeight="1" outlineLevel="1" x14ac:dyDescent="0.2">
      <c r="A115" s="17" t="s">
        <v>77</v>
      </c>
      <c r="B115" s="17"/>
      <c r="C115" s="17"/>
      <c r="D115" s="18" t="s">
        <v>21</v>
      </c>
    </row>
    <row r="116" spans="1:4" ht="15" customHeight="1" outlineLevel="1" x14ac:dyDescent="0.2">
      <c r="A116" s="19" t="s">
        <v>22</v>
      </c>
      <c r="B116" s="20" t="s">
        <v>23</v>
      </c>
      <c r="C116" s="20" t="s">
        <v>24</v>
      </c>
      <c r="D116" s="21" t="s">
        <v>25</v>
      </c>
    </row>
    <row r="117" spans="1:4" ht="42.75" customHeight="1" outlineLevel="1" x14ac:dyDescent="0.2">
      <c r="A117" s="22" t="s">
        <v>30</v>
      </c>
      <c r="B117" s="25" t="s">
        <v>103</v>
      </c>
      <c r="C117" s="23" t="s">
        <v>104</v>
      </c>
      <c r="D117" s="24" t="s">
        <v>104</v>
      </c>
    </row>
    <row r="118" spans="1:4" ht="42.75" customHeight="1" outlineLevel="1" x14ac:dyDescent="0.2">
      <c r="A118" s="22"/>
      <c r="B118" s="25" t="s">
        <v>103</v>
      </c>
      <c r="C118" s="23" t="s">
        <v>104</v>
      </c>
      <c r="D118" s="24" t="s">
        <v>104</v>
      </c>
    </row>
    <row r="119" spans="1:4" ht="42.75" customHeight="1" outlineLevel="1" x14ac:dyDescent="0.2">
      <c r="A119" s="22"/>
      <c r="B119" s="25" t="s">
        <v>103</v>
      </c>
      <c r="C119" s="23" t="s">
        <v>104</v>
      </c>
      <c r="D119" s="24" t="s">
        <v>104</v>
      </c>
    </row>
    <row r="120" spans="1:4" ht="42.75" customHeight="1" outlineLevel="1" x14ac:dyDescent="0.2">
      <c r="A120" s="22"/>
      <c r="B120" s="25" t="s">
        <v>103</v>
      </c>
      <c r="C120" s="23" t="s">
        <v>104</v>
      </c>
      <c r="D120" s="24" t="s">
        <v>104</v>
      </c>
    </row>
    <row r="121" spans="1:4" ht="42.75" customHeight="1" outlineLevel="1" x14ac:dyDescent="0.2">
      <c r="A121" s="26"/>
      <c r="B121" s="27" t="s">
        <v>103</v>
      </c>
      <c r="C121" s="28" t="s">
        <v>104</v>
      </c>
      <c r="D121" s="29" t="s">
        <v>104</v>
      </c>
    </row>
    <row r="122" spans="1:4" ht="15" customHeight="1" outlineLevel="1" x14ac:dyDescent="0.2">
      <c r="A122" s="16"/>
      <c r="B122" s="16"/>
      <c r="C122" s="16"/>
      <c r="D122" s="16"/>
    </row>
    <row r="123" spans="1:4" ht="15" customHeight="1" outlineLevel="1" x14ac:dyDescent="0.2">
      <c r="A123" s="17" t="s">
        <v>38</v>
      </c>
      <c r="B123" s="17"/>
      <c r="C123" s="17"/>
      <c r="D123" s="17"/>
    </row>
    <row r="124" spans="1:4" ht="15" customHeight="1" outlineLevel="1" x14ac:dyDescent="0.2">
      <c r="A124" s="19" t="s">
        <v>39</v>
      </c>
      <c r="B124" s="20" t="s">
        <v>40</v>
      </c>
      <c r="C124" s="20" t="s">
        <v>41</v>
      </c>
      <c r="D124" s="21" t="s">
        <v>42</v>
      </c>
    </row>
    <row r="125" spans="1:4" ht="15" customHeight="1" outlineLevel="1" x14ac:dyDescent="0.2">
      <c r="A125" s="31"/>
      <c r="B125" s="23"/>
      <c r="C125" s="23"/>
      <c r="D125" s="24"/>
    </row>
    <row r="126" spans="1:4" ht="15" customHeight="1" outlineLevel="1" x14ac:dyDescent="0.2">
      <c r="A126" s="35"/>
      <c r="B126" s="87"/>
      <c r="C126" s="87"/>
      <c r="D126" s="88"/>
    </row>
    <row r="127" spans="1:4" ht="15" customHeight="1" outlineLevel="1" x14ac:dyDescent="0.2">
      <c r="A127" s="89"/>
      <c r="B127" s="37"/>
      <c r="C127" s="37"/>
      <c r="D127" s="90"/>
    </row>
    <row r="128" spans="1:4" ht="15.75" customHeight="1" outlineLevel="1" x14ac:dyDescent="0.2">
      <c r="A128" s="38" t="s">
        <v>43</v>
      </c>
      <c r="B128" s="38"/>
      <c r="C128" s="38"/>
      <c r="D128" s="38"/>
    </row>
    <row r="129" spans="1:4" ht="15" customHeight="1" outlineLevel="1" x14ac:dyDescent="0.2">
      <c r="A129" s="19" t="s">
        <v>0</v>
      </c>
      <c r="B129" s="20" t="s">
        <v>44</v>
      </c>
      <c r="C129" s="20" t="s">
        <v>45</v>
      </c>
      <c r="D129" s="21" t="s">
        <v>46</v>
      </c>
    </row>
    <row r="130" spans="1:4" ht="15" customHeight="1" outlineLevel="1" x14ac:dyDescent="0.2">
      <c r="A130" s="39" t="s">
        <v>47</v>
      </c>
      <c r="B130" s="33" t="s">
        <v>48</v>
      </c>
      <c r="C130" s="40" t="s">
        <v>56</v>
      </c>
      <c r="D130" s="24"/>
    </row>
    <row r="131" spans="1:4" ht="28.5" customHeight="1" outlineLevel="1" x14ac:dyDescent="0.2">
      <c r="A131" s="39" t="s">
        <v>51</v>
      </c>
      <c r="B131" s="33" t="s">
        <v>52</v>
      </c>
      <c r="C131" s="40" t="s">
        <v>56</v>
      </c>
      <c r="D131" s="24"/>
    </row>
    <row r="132" spans="1:4" ht="15" customHeight="1" outlineLevel="1" x14ac:dyDescent="0.2">
      <c r="A132" s="39" t="s">
        <v>54</v>
      </c>
      <c r="B132" s="33" t="s">
        <v>55</v>
      </c>
      <c r="C132" s="40" t="s">
        <v>56</v>
      </c>
      <c r="D132" s="24"/>
    </row>
    <row r="133" spans="1:4" ht="15" customHeight="1" outlineLevel="1" x14ac:dyDescent="0.2">
      <c r="A133" s="39" t="s">
        <v>57</v>
      </c>
      <c r="B133" s="33" t="s">
        <v>58</v>
      </c>
      <c r="C133" s="40" t="s">
        <v>56</v>
      </c>
      <c r="D133" s="24"/>
    </row>
    <row r="134" spans="1:4" ht="15" customHeight="1" outlineLevel="1" x14ac:dyDescent="0.2">
      <c r="A134" s="41" t="s">
        <v>60</v>
      </c>
      <c r="B134" s="42" t="s">
        <v>61</v>
      </c>
      <c r="C134" s="43" t="s">
        <v>56</v>
      </c>
      <c r="D134" s="29"/>
    </row>
    <row r="135" spans="1:4" ht="15" customHeight="1" outlineLevel="1" x14ac:dyDescent="0.2">
      <c r="A135" s="16"/>
      <c r="B135" s="44"/>
      <c r="C135" s="45"/>
      <c r="D135" s="45"/>
    </row>
    <row r="136" spans="1:4" ht="15" customHeight="1" outlineLevel="1" x14ac:dyDescent="0.2">
      <c r="A136" s="17" t="s">
        <v>63</v>
      </c>
      <c r="B136" s="46"/>
      <c r="C136" s="47"/>
      <c r="D136" s="47"/>
    </row>
    <row r="137" spans="1:4" ht="15" customHeight="1" outlineLevel="1" x14ac:dyDescent="0.2">
      <c r="A137" s="19" t="s">
        <v>39</v>
      </c>
      <c r="B137" s="48" t="s">
        <v>64</v>
      </c>
      <c r="C137" s="49" t="s">
        <v>65</v>
      </c>
      <c r="D137" s="21" t="s">
        <v>66</v>
      </c>
    </row>
    <row r="138" spans="1:4" ht="15" customHeight="1" outlineLevel="1" x14ac:dyDescent="0.2">
      <c r="A138" s="31"/>
      <c r="B138" s="23"/>
      <c r="C138" s="50"/>
      <c r="D138" s="50"/>
    </row>
    <row r="139" spans="1:4" ht="15" customHeight="1" outlineLevel="1" x14ac:dyDescent="0.2">
      <c r="A139" s="51"/>
      <c r="B139" s="91"/>
      <c r="C139" s="50"/>
      <c r="D139" s="50"/>
    </row>
    <row r="140" spans="1:4" ht="15" customHeight="1" x14ac:dyDescent="0.2">
      <c r="A140" s="89"/>
      <c r="B140" s="37"/>
      <c r="C140" s="37"/>
      <c r="D140" s="90"/>
    </row>
    <row r="141" spans="1:4" ht="18" customHeight="1" x14ac:dyDescent="0.2">
      <c r="A141" s="113" t="s">
        <v>107</v>
      </c>
      <c r="B141" s="114"/>
      <c r="C141" s="114"/>
      <c r="D141" s="115"/>
    </row>
    <row r="142" spans="1:4" ht="15" customHeight="1" outlineLevel="1" x14ac:dyDescent="0.2">
      <c r="A142" s="52"/>
      <c r="B142" s="52"/>
      <c r="C142" s="52"/>
      <c r="D142" s="52"/>
    </row>
    <row r="143" spans="1:4" ht="15" customHeight="1" outlineLevel="1" x14ac:dyDescent="0.2">
      <c r="A143" s="53" t="s">
        <v>77</v>
      </c>
      <c r="B143" s="53"/>
      <c r="C143" s="53"/>
      <c r="D143" s="18" t="s">
        <v>21</v>
      </c>
    </row>
    <row r="144" spans="1:4" ht="15" customHeight="1" outlineLevel="1" x14ac:dyDescent="0.2">
      <c r="A144" s="54" t="s">
        <v>22</v>
      </c>
      <c r="B144" s="55" t="s">
        <v>23</v>
      </c>
      <c r="C144" s="55" t="s">
        <v>24</v>
      </c>
      <c r="D144" s="56" t="s">
        <v>25</v>
      </c>
    </row>
    <row r="145" spans="1:4" ht="42.75" customHeight="1" outlineLevel="1" x14ac:dyDescent="0.2">
      <c r="A145" s="57" t="s">
        <v>30</v>
      </c>
      <c r="B145" s="58" t="s">
        <v>103</v>
      </c>
      <c r="C145" s="59" t="s">
        <v>104</v>
      </c>
      <c r="D145" s="60" t="s">
        <v>104</v>
      </c>
    </row>
    <row r="146" spans="1:4" ht="42.75" customHeight="1" outlineLevel="1" x14ac:dyDescent="0.2">
      <c r="A146" s="57"/>
      <c r="B146" s="58" t="s">
        <v>103</v>
      </c>
      <c r="C146" s="59" t="s">
        <v>104</v>
      </c>
      <c r="D146" s="60" t="s">
        <v>104</v>
      </c>
    </row>
    <row r="147" spans="1:4" ht="42.75" customHeight="1" outlineLevel="1" x14ac:dyDescent="0.2">
      <c r="A147" s="57"/>
      <c r="B147" s="58" t="s">
        <v>103</v>
      </c>
      <c r="C147" s="59" t="s">
        <v>104</v>
      </c>
      <c r="D147" s="60" t="s">
        <v>104</v>
      </c>
    </row>
    <row r="148" spans="1:4" ht="42.75" customHeight="1" outlineLevel="1" x14ac:dyDescent="0.2">
      <c r="A148" s="57"/>
      <c r="B148" s="58" t="s">
        <v>103</v>
      </c>
      <c r="C148" s="59" t="s">
        <v>104</v>
      </c>
      <c r="D148" s="60" t="s">
        <v>104</v>
      </c>
    </row>
    <row r="149" spans="1:4" ht="42.75" customHeight="1" outlineLevel="1" x14ac:dyDescent="0.2">
      <c r="A149" s="61"/>
      <c r="B149" s="62" t="s">
        <v>103</v>
      </c>
      <c r="C149" s="63" t="s">
        <v>104</v>
      </c>
      <c r="D149" s="64" t="s">
        <v>104</v>
      </c>
    </row>
    <row r="150" spans="1:4" ht="15" customHeight="1" outlineLevel="1" x14ac:dyDescent="0.2">
      <c r="A150" s="52"/>
      <c r="B150" s="52"/>
      <c r="C150" s="52"/>
      <c r="D150" s="52"/>
    </row>
    <row r="151" spans="1:4" ht="15" customHeight="1" outlineLevel="1" x14ac:dyDescent="0.2">
      <c r="A151" s="53" t="s">
        <v>38</v>
      </c>
      <c r="B151" s="53"/>
      <c r="C151" s="53"/>
      <c r="D151" s="53"/>
    </row>
    <row r="152" spans="1:4" ht="15" customHeight="1" outlineLevel="1" x14ac:dyDescent="0.2">
      <c r="A152" s="54" t="s">
        <v>39</v>
      </c>
      <c r="B152" s="55" t="s">
        <v>40</v>
      </c>
      <c r="C152" s="55" t="s">
        <v>41</v>
      </c>
      <c r="D152" s="56" t="s">
        <v>42</v>
      </c>
    </row>
    <row r="153" spans="1:4" ht="15" customHeight="1" outlineLevel="1" x14ac:dyDescent="0.2">
      <c r="A153" s="65"/>
      <c r="B153" s="59"/>
      <c r="C153" s="59"/>
      <c r="D153" s="60"/>
    </row>
    <row r="154" spans="1:4" ht="15" customHeight="1" outlineLevel="1" x14ac:dyDescent="0.2">
      <c r="A154" s="66"/>
      <c r="B154" s="67"/>
      <c r="C154" s="67"/>
      <c r="D154" s="68"/>
    </row>
    <row r="155" spans="1:4" ht="15" customHeight="1" outlineLevel="1" x14ac:dyDescent="0.2">
      <c r="A155" s="69"/>
      <c r="B155" s="70"/>
      <c r="C155" s="70"/>
      <c r="D155" s="71"/>
    </row>
    <row r="156" spans="1:4" ht="15" customHeight="1" outlineLevel="1" x14ac:dyDescent="0.2">
      <c r="A156" s="92" t="s">
        <v>43</v>
      </c>
      <c r="B156" s="93"/>
      <c r="C156" s="93"/>
      <c r="D156" s="94"/>
    </row>
    <row r="157" spans="1:4" ht="15" customHeight="1" outlineLevel="1" x14ac:dyDescent="0.2">
      <c r="A157" s="95" t="s">
        <v>0</v>
      </c>
      <c r="B157" s="96" t="s">
        <v>44</v>
      </c>
      <c r="C157" s="96" t="s">
        <v>45</v>
      </c>
      <c r="D157" s="97" t="s">
        <v>46</v>
      </c>
    </row>
    <row r="158" spans="1:4" ht="15" customHeight="1" outlineLevel="1" x14ac:dyDescent="0.2">
      <c r="A158" s="73" t="s">
        <v>47</v>
      </c>
      <c r="B158" s="74" t="s">
        <v>48</v>
      </c>
      <c r="C158" s="75" t="s">
        <v>56</v>
      </c>
      <c r="D158" s="60"/>
    </row>
    <row r="159" spans="1:4" ht="28.5" customHeight="1" outlineLevel="1" x14ac:dyDescent="0.2">
      <c r="A159" s="73" t="s">
        <v>51</v>
      </c>
      <c r="B159" s="74" t="s">
        <v>52</v>
      </c>
      <c r="C159" s="75" t="s">
        <v>56</v>
      </c>
      <c r="D159" s="60"/>
    </row>
    <row r="160" spans="1:4" ht="15" customHeight="1" outlineLevel="1" x14ac:dyDescent="0.2">
      <c r="A160" s="73" t="s">
        <v>54</v>
      </c>
      <c r="B160" s="74" t="s">
        <v>55</v>
      </c>
      <c r="C160" s="75" t="s">
        <v>56</v>
      </c>
      <c r="D160" s="60"/>
    </row>
    <row r="161" spans="1:4" ht="15" customHeight="1" outlineLevel="1" x14ac:dyDescent="0.2">
      <c r="A161" s="73" t="s">
        <v>57</v>
      </c>
      <c r="B161" s="74" t="s">
        <v>58</v>
      </c>
      <c r="C161" s="75" t="s">
        <v>56</v>
      </c>
      <c r="D161" s="60"/>
    </row>
    <row r="162" spans="1:4" ht="15" customHeight="1" outlineLevel="1" x14ac:dyDescent="0.2">
      <c r="A162" s="76" t="s">
        <v>60</v>
      </c>
      <c r="B162" s="77" t="s">
        <v>61</v>
      </c>
      <c r="C162" s="78" t="s">
        <v>56</v>
      </c>
      <c r="D162" s="64"/>
    </row>
    <row r="163" spans="1:4" ht="15" customHeight="1" outlineLevel="1" x14ac:dyDescent="0.2">
      <c r="A163" s="52"/>
      <c r="B163" s="79"/>
      <c r="C163" s="80"/>
      <c r="D163" s="80"/>
    </row>
    <row r="164" spans="1:4" ht="15" customHeight="1" outlineLevel="1" x14ac:dyDescent="0.2">
      <c r="A164" s="53" t="s">
        <v>63</v>
      </c>
      <c r="B164" s="81"/>
      <c r="C164" s="82"/>
      <c r="D164" s="82"/>
    </row>
    <row r="165" spans="1:4" ht="15" customHeight="1" outlineLevel="1" x14ac:dyDescent="0.2">
      <c r="A165" s="54" t="s">
        <v>39</v>
      </c>
      <c r="B165" s="83" t="s">
        <v>64</v>
      </c>
      <c r="C165" s="84" t="s">
        <v>65</v>
      </c>
      <c r="D165" s="56" t="s">
        <v>66</v>
      </c>
    </row>
    <row r="166" spans="1:4" ht="15" customHeight="1" outlineLevel="1" x14ac:dyDescent="0.2">
      <c r="A166" s="65"/>
      <c r="B166" s="59"/>
      <c r="C166" s="59"/>
      <c r="D166" s="60"/>
    </row>
    <row r="167" spans="1:4" ht="15" customHeight="1" outlineLevel="1" x14ac:dyDescent="0.2">
      <c r="A167" s="85"/>
      <c r="B167" s="86"/>
      <c r="C167" s="67"/>
      <c r="D167" s="68"/>
    </row>
    <row r="168" spans="1:4" ht="15" customHeight="1" x14ac:dyDescent="0.2">
      <c r="A168" s="69"/>
      <c r="B168" s="70"/>
      <c r="C168" s="70"/>
      <c r="D168" s="71"/>
    </row>
    <row r="169" spans="1:4" ht="18" customHeight="1" x14ac:dyDescent="0.2">
      <c r="A169" s="116" t="s">
        <v>108</v>
      </c>
      <c r="B169" s="114"/>
      <c r="C169" s="114"/>
      <c r="D169" s="115"/>
    </row>
    <row r="170" spans="1:4" ht="15" customHeight="1" outlineLevel="1" x14ac:dyDescent="0.2">
      <c r="A170" s="16"/>
      <c r="B170" s="16"/>
      <c r="C170" s="16"/>
      <c r="D170" s="16"/>
    </row>
    <row r="171" spans="1:4" ht="15" customHeight="1" outlineLevel="1" x14ac:dyDescent="0.2">
      <c r="A171" s="17" t="s">
        <v>77</v>
      </c>
      <c r="B171" s="17"/>
      <c r="C171" s="17"/>
      <c r="D171" s="18" t="s">
        <v>21</v>
      </c>
    </row>
    <row r="172" spans="1:4" ht="15" customHeight="1" outlineLevel="1" x14ac:dyDescent="0.2">
      <c r="A172" s="19" t="s">
        <v>22</v>
      </c>
      <c r="B172" s="20" t="s">
        <v>23</v>
      </c>
      <c r="C172" s="20" t="s">
        <v>24</v>
      </c>
      <c r="D172" s="21" t="s">
        <v>25</v>
      </c>
    </row>
    <row r="173" spans="1:4" ht="42.75" customHeight="1" outlineLevel="1" x14ac:dyDescent="0.2">
      <c r="A173" s="22" t="s">
        <v>30</v>
      </c>
      <c r="B173" s="25" t="s">
        <v>103</v>
      </c>
      <c r="C173" s="23" t="s">
        <v>104</v>
      </c>
      <c r="D173" s="24" t="s">
        <v>104</v>
      </c>
    </row>
    <row r="174" spans="1:4" ht="42.75" customHeight="1" outlineLevel="1" x14ac:dyDescent="0.2">
      <c r="A174" s="22"/>
      <c r="B174" s="25" t="s">
        <v>103</v>
      </c>
      <c r="C174" s="23" t="s">
        <v>104</v>
      </c>
      <c r="D174" s="24" t="s">
        <v>104</v>
      </c>
    </row>
    <row r="175" spans="1:4" ht="42.75" customHeight="1" outlineLevel="1" x14ac:dyDescent="0.2">
      <c r="A175" s="22"/>
      <c r="B175" s="25" t="s">
        <v>103</v>
      </c>
      <c r="C175" s="23" t="s">
        <v>104</v>
      </c>
      <c r="D175" s="24" t="s">
        <v>104</v>
      </c>
    </row>
    <row r="176" spans="1:4" ht="42.75" customHeight="1" outlineLevel="1" x14ac:dyDescent="0.2">
      <c r="A176" s="22"/>
      <c r="B176" s="25" t="s">
        <v>103</v>
      </c>
      <c r="C176" s="23" t="s">
        <v>104</v>
      </c>
      <c r="D176" s="24" t="s">
        <v>104</v>
      </c>
    </row>
    <row r="177" spans="1:4" ht="42.75" customHeight="1" outlineLevel="1" x14ac:dyDescent="0.2">
      <c r="A177" s="26"/>
      <c r="B177" s="27" t="s">
        <v>103</v>
      </c>
      <c r="C177" s="28" t="s">
        <v>104</v>
      </c>
      <c r="D177" s="29" t="s">
        <v>104</v>
      </c>
    </row>
    <row r="178" spans="1:4" ht="15" customHeight="1" outlineLevel="1" x14ac:dyDescent="0.2">
      <c r="A178" s="16"/>
      <c r="B178" s="16"/>
      <c r="C178" s="16"/>
      <c r="D178" s="16"/>
    </row>
    <row r="179" spans="1:4" ht="15" customHeight="1" outlineLevel="1" x14ac:dyDescent="0.2">
      <c r="A179" s="17" t="s">
        <v>38</v>
      </c>
      <c r="B179" s="17"/>
      <c r="C179" s="17"/>
      <c r="D179" s="17"/>
    </row>
    <row r="180" spans="1:4" ht="15" customHeight="1" outlineLevel="1" x14ac:dyDescent="0.2">
      <c r="A180" s="19" t="s">
        <v>39</v>
      </c>
      <c r="B180" s="20" t="s">
        <v>40</v>
      </c>
      <c r="C180" s="20" t="s">
        <v>41</v>
      </c>
      <c r="D180" s="21" t="s">
        <v>42</v>
      </c>
    </row>
    <row r="181" spans="1:4" ht="15" customHeight="1" outlineLevel="1" x14ac:dyDescent="0.2">
      <c r="A181" s="31"/>
      <c r="B181" s="23"/>
      <c r="C181" s="23"/>
      <c r="D181" s="24"/>
    </row>
    <row r="182" spans="1:4" ht="15" customHeight="1" outlineLevel="1" x14ac:dyDescent="0.2">
      <c r="A182" s="35"/>
      <c r="B182" s="87"/>
      <c r="C182" s="87"/>
      <c r="D182" s="88"/>
    </row>
    <row r="183" spans="1:4" ht="15" customHeight="1" outlineLevel="1" x14ac:dyDescent="0.2">
      <c r="A183" s="89"/>
      <c r="B183" s="37"/>
      <c r="C183" s="37"/>
      <c r="D183" s="90"/>
    </row>
    <row r="184" spans="1:4" ht="15.75" customHeight="1" outlineLevel="1" x14ac:dyDescent="0.2">
      <c r="A184" s="38" t="s">
        <v>43</v>
      </c>
      <c r="B184" s="38"/>
      <c r="C184" s="38"/>
      <c r="D184" s="38"/>
    </row>
    <row r="185" spans="1:4" ht="15" customHeight="1" outlineLevel="1" x14ac:dyDescent="0.2">
      <c r="A185" s="19" t="s">
        <v>0</v>
      </c>
      <c r="B185" s="20" t="s">
        <v>44</v>
      </c>
      <c r="C185" s="20" t="s">
        <v>45</v>
      </c>
      <c r="D185" s="21" t="s">
        <v>46</v>
      </c>
    </row>
    <row r="186" spans="1:4" ht="15" customHeight="1" outlineLevel="1" x14ac:dyDescent="0.2">
      <c r="A186" s="39" t="s">
        <v>47</v>
      </c>
      <c r="B186" s="33" t="s">
        <v>48</v>
      </c>
      <c r="C186" s="40" t="s">
        <v>56</v>
      </c>
      <c r="D186" s="24"/>
    </row>
    <row r="187" spans="1:4" ht="28.5" customHeight="1" outlineLevel="1" x14ac:dyDescent="0.2">
      <c r="A187" s="39" t="s">
        <v>51</v>
      </c>
      <c r="B187" s="33" t="s">
        <v>52</v>
      </c>
      <c r="C187" s="40" t="s">
        <v>56</v>
      </c>
      <c r="D187" s="24"/>
    </row>
    <row r="188" spans="1:4" ht="15" customHeight="1" outlineLevel="1" x14ac:dyDescent="0.2">
      <c r="A188" s="39" t="s">
        <v>54</v>
      </c>
      <c r="B188" s="33" t="s">
        <v>55</v>
      </c>
      <c r="C188" s="40" t="s">
        <v>56</v>
      </c>
      <c r="D188" s="24"/>
    </row>
    <row r="189" spans="1:4" ht="15" customHeight="1" outlineLevel="1" x14ac:dyDescent="0.2">
      <c r="A189" s="39" t="s">
        <v>57</v>
      </c>
      <c r="B189" s="33" t="s">
        <v>58</v>
      </c>
      <c r="C189" s="40" t="s">
        <v>56</v>
      </c>
      <c r="D189" s="24"/>
    </row>
    <row r="190" spans="1:4" ht="15" customHeight="1" outlineLevel="1" x14ac:dyDescent="0.2">
      <c r="A190" s="41" t="s">
        <v>60</v>
      </c>
      <c r="B190" s="42" t="s">
        <v>61</v>
      </c>
      <c r="C190" s="43" t="s">
        <v>56</v>
      </c>
      <c r="D190" s="29"/>
    </row>
    <row r="191" spans="1:4" ht="15" customHeight="1" outlineLevel="1" x14ac:dyDescent="0.2">
      <c r="A191" s="16"/>
      <c r="B191" s="44"/>
      <c r="C191" s="45"/>
      <c r="D191" s="45"/>
    </row>
    <row r="192" spans="1:4" ht="15" customHeight="1" outlineLevel="1" x14ac:dyDescent="0.2">
      <c r="A192" s="17" t="s">
        <v>63</v>
      </c>
      <c r="B192" s="46"/>
      <c r="C192" s="47"/>
      <c r="D192" s="47"/>
    </row>
    <row r="193" spans="1:4" ht="15" customHeight="1" outlineLevel="1" x14ac:dyDescent="0.2">
      <c r="A193" s="19" t="s">
        <v>39</v>
      </c>
      <c r="B193" s="48" t="s">
        <v>64</v>
      </c>
      <c r="C193" s="49" t="s">
        <v>65</v>
      </c>
      <c r="D193" s="21" t="s">
        <v>66</v>
      </c>
    </row>
    <row r="194" spans="1:4" ht="15" customHeight="1" outlineLevel="1" x14ac:dyDescent="0.2">
      <c r="A194" s="31"/>
      <c r="B194" s="23"/>
      <c r="C194" s="50"/>
      <c r="D194" s="50"/>
    </row>
    <row r="195" spans="1:4" ht="15" customHeight="1" outlineLevel="1" x14ac:dyDescent="0.2">
      <c r="A195" s="51"/>
      <c r="B195" s="91"/>
      <c r="C195" s="50"/>
      <c r="D195" s="50"/>
    </row>
    <row r="196" spans="1:4" ht="15" customHeight="1" x14ac:dyDescent="0.2">
      <c r="A196" s="89"/>
      <c r="B196" s="37"/>
      <c r="C196" s="37"/>
      <c r="D196" s="90"/>
    </row>
    <row r="197" spans="1:4" ht="18" customHeight="1" x14ac:dyDescent="0.2">
      <c r="A197" s="113" t="s">
        <v>109</v>
      </c>
      <c r="B197" s="114"/>
      <c r="C197" s="114"/>
      <c r="D197" s="115"/>
    </row>
    <row r="198" spans="1:4" ht="15" customHeight="1" outlineLevel="1" x14ac:dyDescent="0.2">
      <c r="A198" s="52"/>
      <c r="B198" s="52"/>
      <c r="C198" s="52"/>
      <c r="D198" s="52"/>
    </row>
    <row r="199" spans="1:4" ht="15" customHeight="1" outlineLevel="1" x14ac:dyDescent="0.2">
      <c r="A199" s="53" t="s">
        <v>77</v>
      </c>
      <c r="B199" s="53"/>
      <c r="C199" s="53"/>
      <c r="D199" s="18" t="s">
        <v>21</v>
      </c>
    </row>
    <row r="200" spans="1:4" ht="15" customHeight="1" outlineLevel="1" x14ac:dyDescent="0.2">
      <c r="A200" s="54" t="s">
        <v>22</v>
      </c>
      <c r="B200" s="55" t="s">
        <v>23</v>
      </c>
      <c r="C200" s="55" t="s">
        <v>24</v>
      </c>
      <c r="D200" s="56" t="s">
        <v>25</v>
      </c>
    </row>
    <row r="201" spans="1:4" ht="42.75" customHeight="1" outlineLevel="1" x14ac:dyDescent="0.2">
      <c r="A201" s="57" t="s">
        <v>30</v>
      </c>
      <c r="B201" s="58" t="s">
        <v>103</v>
      </c>
      <c r="C201" s="59" t="s">
        <v>104</v>
      </c>
      <c r="D201" s="60" t="s">
        <v>104</v>
      </c>
    </row>
    <row r="202" spans="1:4" ht="42.75" customHeight="1" outlineLevel="1" x14ac:dyDescent="0.2">
      <c r="A202" s="57"/>
      <c r="B202" s="58" t="s">
        <v>103</v>
      </c>
      <c r="C202" s="59" t="s">
        <v>104</v>
      </c>
      <c r="D202" s="60" t="s">
        <v>104</v>
      </c>
    </row>
    <row r="203" spans="1:4" ht="42.75" customHeight="1" outlineLevel="1" x14ac:dyDescent="0.2">
      <c r="A203" s="57"/>
      <c r="B203" s="58" t="s">
        <v>103</v>
      </c>
      <c r="C203" s="59" t="s">
        <v>104</v>
      </c>
      <c r="D203" s="60" t="s">
        <v>104</v>
      </c>
    </row>
    <row r="204" spans="1:4" ht="42.75" customHeight="1" outlineLevel="1" x14ac:dyDescent="0.2">
      <c r="A204" s="57"/>
      <c r="B204" s="58" t="s">
        <v>103</v>
      </c>
      <c r="C204" s="59" t="s">
        <v>104</v>
      </c>
      <c r="D204" s="60" t="s">
        <v>104</v>
      </c>
    </row>
    <row r="205" spans="1:4" ht="42.75" customHeight="1" outlineLevel="1" x14ac:dyDescent="0.2">
      <c r="A205" s="61"/>
      <c r="B205" s="62" t="s">
        <v>103</v>
      </c>
      <c r="C205" s="63" t="s">
        <v>104</v>
      </c>
      <c r="D205" s="64" t="s">
        <v>104</v>
      </c>
    </row>
    <row r="206" spans="1:4" ht="15" customHeight="1" outlineLevel="1" x14ac:dyDescent="0.2">
      <c r="A206" s="52"/>
      <c r="B206" s="52"/>
      <c r="C206" s="52"/>
      <c r="D206" s="52"/>
    </row>
    <row r="207" spans="1:4" ht="15" customHeight="1" outlineLevel="1" x14ac:dyDescent="0.2">
      <c r="A207" s="53" t="s">
        <v>38</v>
      </c>
      <c r="B207" s="53"/>
      <c r="C207" s="53"/>
      <c r="D207" s="53"/>
    </row>
    <row r="208" spans="1:4" ht="15" customHeight="1" outlineLevel="1" x14ac:dyDescent="0.2">
      <c r="A208" s="54" t="s">
        <v>39</v>
      </c>
      <c r="B208" s="55" t="s">
        <v>40</v>
      </c>
      <c r="C208" s="55" t="s">
        <v>41</v>
      </c>
      <c r="D208" s="56" t="s">
        <v>42</v>
      </c>
    </row>
    <row r="209" spans="1:4" ht="15" customHeight="1" outlineLevel="1" x14ac:dyDescent="0.2">
      <c r="A209" s="65"/>
      <c r="B209" s="59"/>
      <c r="C209" s="59"/>
      <c r="D209" s="60"/>
    </row>
    <row r="210" spans="1:4" ht="15" customHeight="1" outlineLevel="1" x14ac:dyDescent="0.2">
      <c r="A210" s="66"/>
      <c r="B210" s="67"/>
      <c r="C210" s="67"/>
      <c r="D210" s="68"/>
    </row>
    <row r="211" spans="1:4" ht="15" customHeight="1" outlineLevel="1" x14ac:dyDescent="0.2">
      <c r="A211" s="69"/>
      <c r="B211" s="70"/>
      <c r="C211" s="70"/>
      <c r="D211" s="71"/>
    </row>
    <row r="212" spans="1:4" ht="15.75" customHeight="1" outlineLevel="1" x14ac:dyDescent="0.2">
      <c r="A212" s="72" t="s">
        <v>43</v>
      </c>
      <c r="B212" s="72"/>
      <c r="C212" s="72"/>
      <c r="D212" s="72"/>
    </row>
    <row r="213" spans="1:4" ht="15" customHeight="1" outlineLevel="1" x14ac:dyDescent="0.2">
      <c r="A213" s="54" t="s">
        <v>0</v>
      </c>
      <c r="B213" s="55" t="s">
        <v>44</v>
      </c>
      <c r="C213" s="55" t="s">
        <v>45</v>
      </c>
      <c r="D213" s="56" t="s">
        <v>46</v>
      </c>
    </row>
    <row r="214" spans="1:4" ht="15" customHeight="1" outlineLevel="1" x14ac:dyDescent="0.2">
      <c r="A214" s="73" t="s">
        <v>47</v>
      </c>
      <c r="B214" s="74" t="s">
        <v>48</v>
      </c>
      <c r="C214" s="75" t="s">
        <v>56</v>
      </c>
      <c r="D214" s="60"/>
    </row>
    <row r="215" spans="1:4" ht="28.5" customHeight="1" outlineLevel="1" x14ac:dyDescent="0.2">
      <c r="A215" s="73" t="s">
        <v>51</v>
      </c>
      <c r="B215" s="74" t="s">
        <v>52</v>
      </c>
      <c r="C215" s="75" t="s">
        <v>56</v>
      </c>
      <c r="D215" s="60"/>
    </row>
    <row r="216" spans="1:4" ht="15" customHeight="1" outlineLevel="1" x14ac:dyDescent="0.2">
      <c r="A216" s="73" t="s">
        <v>54</v>
      </c>
      <c r="B216" s="74" t="s">
        <v>55</v>
      </c>
      <c r="C216" s="75" t="s">
        <v>56</v>
      </c>
      <c r="D216" s="60"/>
    </row>
    <row r="217" spans="1:4" ht="15" customHeight="1" outlineLevel="1" x14ac:dyDescent="0.2">
      <c r="A217" s="73" t="s">
        <v>57</v>
      </c>
      <c r="B217" s="74" t="s">
        <v>58</v>
      </c>
      <c r="C217" s="75" t="s">
        <v>56</v>
      </c>
      <c r="D217" s="60"/>
    </row>
    <row r="218" spans="1:4" ht="15.75" customHeight="1" outlineLevel="1" x14ac:dyDescent="0.2">
      <c r="A218" s="76" t="s">
        <v>60</v>
      </c>
      <c r="B218" s="77" t="s">
        <v>61</v>
      </c>
      <c r="C218" s="78" t="s">
        <v>56</v>
      </c>
      <c r="D218" s="64"/>
    </row>
    <row r="219" spans="1:4" ht="15" customHeight="1" outlineLevel="1" x14ac:dyDescent="0.2">
      <c r="A219" s="52"/>
      <c r="B219" s="79"/>
      <c r="C219" s="80"/>
      <c r="D219" s="80"/>
    </row>
    <row r="220" spans="1:4" ht="15" customHeight="1" outlineLevel="1" x14ac:dyDescent="0.2">
      <c r="A220" s="53" t="s">
        <v>63</v>
      </c>
      <c r="B220" s="81"/>
      <c r="C220" s="82"/>
      <c r="D220" s="82"/>
    </row>
    <row r="221" spans="1:4" ht="15" customHeight="1" outlineLevel="1" x14ac:dyDescent="0.2">
      <c r="A221" s="54" t="s">
        <v>39</v>
      </c>
      <c r="B221" s="83" t="s">
        <v>64</v>
      </c>
      <c r="C221" s="84" t="s">
        <v>65</v>
      </c>
      <c r="D221" s="56" t="s">
        <v>66</v>
      </c>
    </row>
    <row r="222" spans="1:4" ht="15" customHeight="1" outlineLevel="1" x14ac:dyDescent="0.2">
      <c r="A222" s="66"/>
      <c r="B222" s="67"/>
      <c r="C222" s="98"/>
      <c r="D222" s="99"/>
    </row>
    <row r="223" spans="1:4" ht="15" customHeight="1" x14ac:dyDescent="0.2">
      <c r="A223" s="100"/>
      <c r="B223" s="100"/>
      <c r="C223" s="100"/>
      <c r="D223" s="100"/>
    </row>
  </sheetData>
  <mergeCells count="8">
    <mergeCell ref="A1:D1"/>
    <mergeCell ref="A197:D197"/>
    <mergeCell ref="A141:D141"/>
    <mergeCell ref="A29:D29"/>
    <mergeCell ref="A57:D57"/>
    <mergeCell ref="A113:D113"/>
    <mergeCell ref="A85:D85"/>
    <mergeCell ref="A169:D169"/>
  </mergeCells>
  <hyperlinks>
    <hyperlink ref="D3" r:id="rId1" xr:uid="{00000000-0004-0000-0100-000000000000}"/>
    <hyperlink ref="D31" r:id="rId2" xr:uid="{00000000-0004-0000-0100-000001000000}"/>
    <hyperlink ref="D59" r:id="rId3" xr:uid="{00000000-0004-0000-0100-000002000000}"/>
    <hyperlink ref="D87" r:id="rId4" xr:uid="{00000000-0004-0000-0100-000003000000}"/>
    <hyperlink ref="D115" r:id="rId5" xr:uid="{00000000-0004-0000-0100-000004000000}"/>
    <hyperlink ref="D143" r:id="rId6" xr:uid="{00000000-0004-0000-0100-000005000000}"/>
    <hyperlink ref="D171" r:id="rId7" xr:uid="{00000000-0004-0000-0100-000006000000}"/>
    <hyperlink ref="D199" r:id="rId8" xr:uid="{00000000-0004-0000-0100-000007000000}"/>
  </hyperlinks>
  <pageMargins left="0.7" right="0.7" top="0.75" bottom="0.75" header="0.511811023622047" footer="0.511811023622047"/>
  <pageSetup paperSize="9" orientation="portrait" horizontalDpi="300" verticalDpi="300"/>
  <tableParts count="32">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zoomScaleNormal="100" workbookViewId="0"/>
  </sheetViews>
  <sheetFormatPr baseColWidth="10" defaultColWidth="8.6640625" defaultRowHeight="15" x14ac:dyDescent="0.2"/>
  <sheetData>
    <row r="1" spans="1:2" ht="14.25" customHeight="1" x14ac:dyDescent="0.2">
      <c r="A1" t="s">
        <v>56</v>
      </c>
      <c r="B1" t="s">
        <v>30</v>
      </c>
    </row>
    <row r="2" spans="1:2" ht="14.25" customHeight="1" x14ac:dyDescent="0.2">
      <c r="A2" t="s">
        <v>110</v>
      </c>
      <c r="B2" t="s">
        <v>34</v>
      </c>
    </row>
    <row r="3" spans="1:2" ht="14.25" customHeight="1" x14ac:dyDescent="0.2">
      <c r="A3" t="s">
        <v>49</v>
      </c>
      <c r="B3" t="s">
        <v>26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Logboek</vt:lpstr>
      <vt:lpstr>Lijsten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Gert van Hardeveld</dc:creator>
  <cp:lastModifiedBy>Jasmijn Mesu (2102510)</cp:lastModifiedBy>
  <cp:revision>0</cp:revision>
  <dcterms:created xsi:type="dcterms:W3CDTF">2026-02-03T10:30:46Z</dcterms:created>
  <dcterms:modified xsi:type="dcterms:W3CDTF">2026-10-13T20:40:16Z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0x01010082751CA16B951342881103182431E377</vt:lpwstr>
  </property>
  <property fmtid="{D5CDD505-2E9C-101B-9397-08002B2CF9AE}" pid="3" name="MediaServiceImageTags">
    <vt:lpwstr/>
  </property>
</Properties>
</file>