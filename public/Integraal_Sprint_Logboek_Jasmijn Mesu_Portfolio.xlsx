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jasmijnmesu/Desktop/"/>
    </mc:Choice>
  </mc:AlternateContent>
  <xr:revisionPtr revIDLastSave="0" documentId="8_{44CFEB07-DFB3-E343-BA72-4A23737EF062}" xr6:coauthVersionLast="47" xr6:coauthVersionMax="47" xr10:uidLastSave="{00000000-0000-0000-0000-000000000000}"/>
  <bookViews>
    <workbookView xWindow="6240" yWindow="760" windowWidth="16580" windowHeight="17260" tabRatio="500" activeTab="1" xr2:uid="{00000000-000D-0000-FFFF-FFFF00000000}"/>
  </bookViews>
  <sheets>
    <sheet name="Dashboard" sheetId="1" r:id="rId1"/>
    <sheet name="Logboek" sheetId="2" r:id="rId2"/>
    <sheet name="Lijsten"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 l="1"/>
  <c r="F7" i="1"/>
  <c r="E7" i="1"/>
  <c r="D7" i="1"/>
  <c r="B7" i="1"/>
  <c r="K6" i="1"/>
  <c r="J6" i="1"/>
  <c r="I6" i="1"/>
  <c r="H6" i="1"/>
  <c r="G6" i="1"/>
  <c r="F6" i="1"/>
  <c r="E6" i="1"/>
  <c r="D6" i="1"/>
  <c r="C6" i="1"/>
  <c r="K5" i="1"/>
  <c r="C5" i="1" s="1"/>
  <c r="J5" i="1"/>
  <c r="I5" i="1"/>
  <c r="H5" i="1"/>
  <c r="G5" i="1"/>
  <c r="F5" i="1"/>
  <c r="E5" i="1"/>
  <c r="D5" i="1"/>
  <c r="K4" i="1"/>
  <c r="J4" i="1"/>
  <c r="C4" i="1" s="1"/>
  <c r="I4" i="1"/>
  <c r="H4" i="1"/>
  <c r="G4" i="1"/>
  <c r="F4" i="1"/>
  <c r="E4" i="1"/>
  <c r="D4" i="1"/>
  <c r="K3" i="1"/>
  <c r="J3" i="1"/>
  <c r="I3" i="1"/>
  <c r="C3" i="1" s="1"/>
  <c r="H3" i="1"/>
  <c r="G3" i="1"/>
  <c r="F3" i="1"/>
  <c r="E3" i="1"/>
  <c r="D3" i="1"/>
  <c r="K2" i="1"/>
  <c r="K7" i="1" s="1"/>
  <c r="J2" i="1"/>
  <c r="J7" i="1" s="1"/>
  <c r="I2" i="1"/>
  <c r="I7" i="1" s="1"/>
  <c r="H2" i="1"/>
  <c r="H7" i="1" s="1"/>
  <c r="G2" i="1"/>
  <c r="F2" i="1"/>
  <c r="E2" i="1"/>
  <c r="D2" i="1"/>
  <c r="C7" i="1" l="1"/>
  <c r="C2" i="1"/>
</calcChain>
</file>

<file path=xl/sharedStrings.xml><?xml version="1.0" encoding="utf-8"?>
<sst xmlns="http://schemas.openxmlformats.org/spreadsheetml/2006/main" count="443" uniqueCount="72">
  <si>
    <t>LU</t>
  </si>
  <si>
    <t>Doel</t>
  </si>
  <si>
    <t>Behaald</t>
  </si>
  <si>
    <t>Sprint 1</t>
  </si>
  <si>
    <t>Sprint 2</t>
  </si>
  <si>
    <t>Sprint 3</t>
  </si>
  <si>
    <t>Sprint 4</t>
  </si>
  <si>
    <t>Sprint 5</t>
  </si>
  <si>
    <t>Sprint 6</t>
  </si>
  <si>
    <t>Sprint 7</t>
  </si>
  <si>
    <t>Sprint 8</t>
  </si>
  <si>
    <t>LU 1: Impact</t>
  </si>
  <si>
    <t>LU 2: Oplossing</t>
  </si>
  <si>
    <t>LU 3: Ethiek</t>
  </si>
  <si>
    <t>LU 4: Tools</t>
  </si>
  <si>
    <t>LU 5: Zelfsturing</t>
  </si>
  <si>
    <t>Totaal</t>
  </si>
  <si>
    <t>SPRINT 1</t>
  </si>
  <si>
    <t xml:space="preserve">1. PLANNING (User Stories) </t>
  </si>
  <si>
    <t>Plannen met je plannings Agent</t>
  </si>
  <si>
    <t>Story</t>
  </si>
  <si>
    <t>Story Omschrijving</t>
  </si>
  <si>
    <t>Acceptatie Criteria</t>
  </si>
  <si>
    <t>Kwaliteitscriteria</t>
  </si>
  <si>
    <t>RS</t>
  </si>
  <si>
    <t>Als aankomend project- en organisatieprofessional,
wil ik onderzoeken welke AI-toepassingen de meeste impact hebben op organiseren, coördineren en samenwerken,
zodat ik weet hoe mijn toekomstige rol, taken en vaardigheden veranderen.</t>
  </si>
  <si>
    <t>1. Prompting: Een tweetrapsaanpak uitvoeren: eerst bronnen zoeken via Perplexity (minstens 4 typen), daarna via een deep-research-prompt het verslag genereren met CoT en bronvermelding.
2. Verslag: Een compleet onderzoeksverslag opleveren met vaste onderdelen: samenvatting, inleiding, methode, resultaten, risico's, conclusie en aanbevelingen.
3. Methode: Kwalitatief literatuuronderzoek doen met narratieve synthese op basis van 10 bronnen.
4. Presentatie: De belangrijkste inzichten presenteren tijdens de Show &amp; Grow.</t>
  </si>
  <si>
    <t>1. Promptopbouw: Prompts bevatten vooraf een duidelijke rol, context, randvoorwaarden en gewenst format.
2. Bronnen: Minimaal 10 bronnen uit minstens 4 invalshoeken; gecheckt en gecorrigeerd volgens APA7-normen.
3. Toolkeuze: Bewuste keuze vastleggen voor OpenAI (onderzoek/synthese) en Claude (vormgeving/structuur).
4. Triangulatie: Bevindingen vergelijken tussen modellen (Gemini en OpenAI) en noteren waarom bepaalde output niet bruikbaar is.
5. Kritische blik: Conclusie onderbouwen met risico's (betrouwbaarheid en afhankelijkheid) en AI positioneren als assistent, niet als vervanging.</t>
  </si>
  <si>
    <t>US</t>
  </si>
  <si>
    <t>1. Homepage: Toont mijn profiel, de context van de minor en mijn focus op organiseren en samenwerken.
2. Over mij: Bevat een profielfoto, achtergrond, studieloopbaan en interesses (geen placeholderteksten).
3. Sprints &amp; bewijzen: Bevat een actueel sprintoverzicht en een directe link naar het onderzoeksverslag (RS), gekoppeld aan LU1 en LU4.
4. Navigatie: Menu werkt soepel tussen Home, Over mij, Leeruitkomsten, Sprints, Bewijzen en Contact.
5. Livegang: De website is publiek bereikbaar via een werkende Vercel-link.</t>
  </si>
  <si>
    <t>1. Responsiveness: Lay-out werkt goed op zowel iPhone als desktop zonder afsnijdingen of horizontaal scrollen.
2. Code &amp; Deployment: Codebeheer via GitHub en automatische livegang via Vercel geregeld.
3. Taal &amp; links: Teksten zijn foutloos geschreven; alle knoppen en links werken zonder foutmeldingen.
4. Vormgeving: Rustige, warme kleuren en typografie die een professioneel geheel vormen en afwijken van standaard AI-templates.
5. Transparantie: Duidelijk vermeld waar AI is ingezet en wat eigen werk is.</t>
  </si>
  <si>
    <t>LS</t>
  </si>
  <si>
    <t>1. Kennisverkenning: Via gerichte prompts testen wat Claude Code inhoudelijk weet over NEN- en ISO-normen en welke structuur het model voorstelt.
2. Dashboard-prototype: Een voorbeeld-dashboard (normchecker) bouwen op basis van een fictieve persona om de werking van normcontroles te visualiseren.
3. Deployment: De applicatie via Claude Code en GitHub live publiceren op een werkende Vercel-omgeving (normchecker.vercel.app).</t>
  </si>
  <si>
    <t>1. Promptstructuur: Prompts aan Claude Code zijn voorzien van duidelijke rolinstructies, domeincontext (bouw/normen) en gewenste output-structuren.
2. Inhoudelijke toetsing: Controleren of de voorgestelde NEN/ISO-structuren door Claude Code inhoudelijk kloppen en geen hallucinaties bevatten.
3. Pipeline-stabiliteit: De koppeling tussen lokale bestanden, GitHub-repository en Vercel werkt zonder build-fouten.</t>
  </si>
  <si>
    <t xml:space="preserve">1. 
2. 
3. </t>
  </si>
  <si>
    <t>Als &lt; &gt; ,wil ik &lt; &gt; ,zodat &lt; &gt;</t>
  </si>
  <si>
    <t>2. FEEDBACK (Ontvangen van anderen)</t>
  </si>
  <si>
    <t>Datum</t>
  </si>
  <si>
    <t>Van wie</t>
  </si>
  <si>
    <t>Feedback</t>
  </si>
  <si>
    <t>Jouw actie</t>
  </si>
  <si>
    <t>3. ZELFEVALUATIE (Mastery)</t>
  </si>
  <si>
    <t>Leeruitkomst</t>
  </si>
  <si>
    <t>Niveau</t>
  </si>
  <si>
    <t>Argumentatie en bewijs</t>
  </si>
  <si>
    <t>LU 1</t>
  </si>
  <si>
    <t>AI-impact op de beroepspraktijk analyseren en evalueren</t>
  </si>
  <si>
    <t>V</t>
  </si>
  <si>
    <t>LU 2</t>
  </si>
  <si>
    <t>Praktijkgerichte AI oplossing ontwerpen, realiseren en presenteren</t>
  </si>
  <si>
    <t>-</t>
  </si>
  <si>
    <t>LU 3</t>
  </si>
  <si>
    <t>Ethiek en verantwoordelijk AI-gebruik beoordelen</t>
  </si>
  <si>
    <t>LU 4</t>
  </si>
  <si>
    <t>AI Tools en technieken gebruiken</t>
  </si>
  <si>
    <t>LU 5</t>
  </si>
  <si>
    <t>Zelfstandig en zelfsturend werken</t>
  </si>
  <si>
    <t>4. REFLECTIE</t>
  </si>
  <si>
    <t>Wat heb je geleerd?</t>
  </si>
  <si>
    <t>Wat behoud je?</t>
  </si>
  <si>
    <t>Wat ga je anders doen?</t>
  </si>
  <si>
    <t>SPRINT 2</t>
  </si>
  <si>
    <t>1. PLANNING (User Stories)</t>
  </si>
  <si>
    <t>SPRINT 3</t>
  </si>
  <si>
    <t>SPRINT 4</t>
  </si>
  <si>
    <t>SPRINT 5</t>
  </si>
  <si>
    <t>SPRINT 6</t>
  </si>
  <si>
    <t>SPRINT 7</t>
  </si>
  <si>
    <t>SPRINT 8</t>
  </si>
  <si>
    <t>O</t>
  </si>
  <si>
    <t>Als student in de minor Futureproof met AI,
wil ik leren werken met Claude Code, prompting en vibe-coding via GitHub en Vercel om een normchecker-prototype te bouwen,
zodat ik ontdek wat AI al weet over ISO- en NEN-normen en zelfstandig een interactief frontend-prototype online kan publiceren.</t>
  </si>
  <si>
    <t>Als student in de minor Futureproof met AI,
wil ik mijn eigen portfoliowebsite bouwen en online publiceren,
zodat coaches en medestudenten direct zien wie ik ben en hoe ik aan de leeruitkomsten werk.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</si>
</sst>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0" x14ac:knownFonts="1">
    <font>
      <sz val="11"/>
      <color theme="1"/>
      <name val="Calibri"/>
      <family val="2"/>
      <charset val="1"/>
    </font>
    <font>
      <b/>
      <sz val="11"/>
      <color theme="0"/>
      <name val="Calibri"/>
      <family val="2"/>
      <charset val="1"/>
    </font>
    <font>
      <b/>
      <u/>
      <sz val="11"/>
      <color theme="0"/>
      <name val="Calibri"/>
      <family val="2"/>
      <charset val="1"/>
    </font>
    <font>
      <u/>
      <sz val="11"/>
      <color theme="0"/>
      <name val="Calibri"/>
      <family val="2"/>
      <charset val="1"/>
    </font>
    <font>
      <b/>
      <sz val="11"/>
      <color theme="1"/>
      <name val="Calibri"/>
      <family val="2"/>
      <charset val="1"/>
    </font>
    <font>
      <b/>
      <sz val="13"/>
      <color rgb="FFFFFFFF"/>
      <name val="Arial"/>
      <family val="2"/>
    </font>
    <font>
      <sz val="10"/>
      <color rgb="FF000000"/>
      <name val="Arial"/>
      <family val="2"/>
    </font>
    <font>
      <b/>
      <sz val="11"/>
      <color rgb="FF1A1A1A"/>
      <name val="Arial"/>
      <family val="2"/>
    </font>
    <font>
      <b/>
      <sz val="10"/>
      <color rgb="FF000000"/>
      <name val="Arial"/>
      <family val="2"/>
    </font>
    <font>
      <u/>
      <sz val="11"/>
      <color theme="10"/>
      <name val="Calibri"/>
      <family val="2"/>
      <charset val="1"/>
    </font>
  </fonts>
  <fills count="9">
    <fill>
      <patternFill patternType="none"/>
    </fill>
    <fill>
      <patternFill patternType="gray125"/>
    </fill>
    <fill>
      <patternFill patternType="solid">
        <fgColor rgb="FFC00000"/>
        <bgColor rgb="FF800000"/>
      </patternFill>
    </fill>
    <fill>
      <patternFill patternType="solid">
        <fgColor rgb="FFE6302B"/>
        <bgColor rgb="FFC00000"/>
      </patternFill>
    </fill>
    <fill>
      <patternFill patternType="solid">
        <fgColor rgb="FFFDF0F0"/>
        <bgColor rgb="FFEDF7FC"/>
      </patternFill>
    </fill>
    <fill>
      <patternFill patternType="solid">
        <fgColor rgb="FFFACAC9"/>
        <bgColor rgb="FFCCCCCC"/>
      </patternFill>
    </fill>
    <fill>
      <patternFill patternType="solid">
        <fgColor rgb="FF00A1E1"/>
        <bgColor rgb="FF008080"/>
      </patternFill>
    </fill>
    <fill>
      <patternFill patternType="solid">
        <fgColor rgb="FFEDF7FC"/>
        <bgColor rgb="FFFDF0F0"/>
      </patternFill>
    </fill>
    <fill>
      <patternFill patternType="solid">
        <fgColor rgb="FFB3E3F6"/>
        <bgColor rgb="FF99CCFF"/>
      </patternFill>
    </fill>
  </fills>
  <borders count="23">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rgb="FF888888"/>
      </left>
      <right style="medium">
        <color rgb="FF888888"/>
      </right>
      <top style="medium">
        <color rgb="FF888888"/>
      </top>
      <bottom style="medium">
        <color rgb="FF888888"/>
      </bottom>
      <diagonal/>
    </border>
    <border>
      <left style="thin">
        <color rgb="FFCCCCCC"/>
      </left>
      <right style="thin">
        <color rgb="FFCCCCCC"/>
      </right>
      <top style="thin">
        <color rgb="FFCCCCCC"/>
      </top>
      <bottom style="thin">
        <color rgb="FFCCCCCC"/>
      </bottom>
      <diagonal/>
    </border>
    <border>
      <left style="medium">
        <color rgb="FF444444"/>
      </left>
      <right style="thin">
        <color rgb="FF999999"/>
      </right>
      <top style="medium">
        <color rgb="FF444444"/>
      </top>
      <bottom style="thin">
        <color rgb="FF999999"/>
      </bottom>
      <diagonal/>
    </border>
    <border>
      <left style="thin">
        <color rgb="FF999999"/>
      </left>
      <right style="thin">
        <color rgb="FF999999"/>
      </right>
      <top style="medium">
        <color rgb="FF444444"/>
      </top>
      <bottom style="thin">
        <color rgb="FF999999"/>
      </bottom>
      <diagonal/>
    </border>
    <border>
      <left style="thin">
        <color rgb="FF999999"/>
      </left>
      <right style="medium">
        <color rgb="FF444444"/>
      </right>
      <top style="medium">
        <color rgb="FF444444"/>
      </top>
      <bottom style="thin">
        <color rgb="FF999999"/>
      </bottom>
      <diagonal/>
    </border>
    <border>
      <left style="medium">
        <color rgb="FF444444"/>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medium">
        <color rgb="FF444444"/>
      </right>
      <top style="thin">
        <color rgb="FF999999"/>
      </top>
      <bottom style="thin">
        <color rgb="FF999999"/>
      </bottom>
      <diagonal/>
    </border>
    <border>
      <left style="medium">
        <color rgb="FF444444"/>
      </left>
      <right style="thin">
        <color rgb="FF999999"/>
      </right>
      <top style="thin">
        <color rgb="FF999999"/>
      </top>
      <bottom style="medium">
        <color rgb="FF444444"/>
      </bottom>
      <diagonal/>
    </border>
    <border>
      <left style="thin">
        <color rgb="FF999999"/>
      </left>
      <right style="thin">
        <color rgb="FF999999"/>
      </right>
      <top style="thin">
        <color rgb="FF999999"/>
      </top>
      <bottom style="medium">
        <color rgb="FF444444"/>
      </bottom>
      <diagonal/>
    </border>
    <border>
      <left style="thin">
        <color rgb="FF999999"/>
      </left>
      <right style="medium">
        <color rgb="FF444444"/>
      </right>
      <top style="thin">
        <color rgb="FF999999"/>
      </top>
      <bottom style="medium">
        <color rgb="FF444444"/>
      </bottom>
      <diagonal/>
    </border>
    <border>
      <left/>
      <right/>
      <top style="medium">
        <color rgb="FF888888"/>
      </top>
      <bottom style="medium">
        <color rgb="FF888888"/>
      </bottom>
      <diagonal/>
    </border>
    <border>
      <left/>
      <right style="medium">
        <color rgb="FF888888"/>
      </right>
      <top style="medium">
        <color rgb="FF888888"/>
      </top>
      <bottom style="medium">
        <color rgb="FF888888"/>
      </bottom>
      <diagonal/>
    </border>
  </borders>
  <cellStyleXfs count="2">
    <xf numFmtId="0" fontId="0" fillId="0" borderId="0"/>
    <xf numFmtId="0" fontId="9" fillId="0" borderId="0"/>
  </cellStyleXfs>
  <cellXfs count="93">
    <xf numFmtId="0" fontId="0" fillId="0" borderId="0" xfId="0"/>
    <xf numFmtId="0" fontId="0" fillId="0" borderId="0" xfId="0" applyAlignment="1">
      <alignment horizontal="center" vertical="center"/>
    </xf>
    <xf numFmtId="0" fontId="1" fillId="2" borderId="1" xfId="0" applyFont="1" applyFill="1" applyBorder="1"/>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4" xfId="0" applyFont="1" applyBorder="1"/>
    <xf numFmtId="0" fontId="4" fillId="0" borderId="5"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4" fillId="0" borderId="7" xfId="0" applyFont="1" applyBorder="1"/>
    <xf numFmtId="0" fontId="4" fillId="0" borderId="8"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6" fillId="4" borderId="0" xfId="0" applyFont="1" applyFill="1"/>
    <xf numFmtId="0" fontId="7" fillId="5" borderId="11" xfId="0" applyFont="1" applyFill="1" applyBorder="1"/>
    <xf numFmtId="0" fontId="8" fillId="4" borderId="12" xfId="0" applyFont="1" applyFill="1" applyBorder="1"/>
    <xf numFmtId="0" fontId="8" fillId="4" borderId="13" xfId="0" applyFont="1" applyFill="1" applyBorder="1"/>
    <xf numFmtId="0" fontId="8" fillId="4" borderId="14" xfId="0" applyFont="1" applyFill="1" applyBorder="1"/>
    <xf numFmtId="0" fontId="6" fillId="4" borderId="15" xfId="0" applyFont="1" applyFill="1" applyBorder="1" applyProtection="1">
      <protection locked="0"/>
    </xf>
    <xf numFmtId="0" fontId="6" fillId="4" borderId="16" xfId="0" applyFont="1" applyFill="1" applyBorder="1" applyAlignment="1" applyProtection="1">
      <alignment horizontal="left" wrapText="1"/>
      <protection locked="0"/>
    </xf>
    <xf numFmtId="0" fontId="6" fillId="4" borderId="17" xfId="0" applyFont="1" applyFill="1" applyBorder="1" applyAlignment="1" applyProtection="1">
      <alignment horizontal="left" wrapText="1"/>
      <protection locked="0"/>
    </xf>
    <xf numFmtId="49" fontId="6" fillId="4" borderId="16" xfId="0" applyNumberFormat="1" applyFont="1" applyFill="1" applyBorder="1" applyAlignment="1" applyProtection="1">
      <alignment horizontal="left" wrapText="1"/>
      <protection locked="0"/>
    </xf>
    <xf numFmtId="0" fontId="6" fillId="4" borderId="18" xfId="0" applyFont="1" applyFill="1" applyBorder="1" applyProtection="1">
      <protection locked="0"/>
    </xf>
    <xf numFmtId="49" fontId="6" fillId="4" borderId="19" xfId="0" applyNumberFormat="1" applyFont="1" applyFill="1" applyBorder="1" applyAlignment="1" applyProtection="1">
      <alignment horizontal="left" wrapText="1"/>
      <protection locked="0"/>
    </xf>
    <xf numFmtId="0" fontId="6" fillId="4" borderId="19" xfId="0" applyFont="1" applyFill="1" applyBorder="1" applyAlignment="1" applyProtection="1">
      <alignment horizontal="left" wrapText="1"/>
      <protection locked="0"/>
    </xf>
    <xf numFmtId="0" fontId="6" fillId="4" borderId="20" xfId="0" applyFont="1" applyFill="1" applyBorder="1" applyAlignment="1" applyProtection="1">
      <alignment horizontal="left" wrapText="1"/>
      <protection locked="0"/>
    </xf>
    <xf numFmtId="164" fontId="6" fillId="4" borderId="15" xfId="0" applyNumberFormat="1" applyFont="1" applyFill="1" applyBorder="1" applyProtection="1">
      <protection locked="0"/>
    </xf>
    <xf numFmtId="0" fontId="6" fillId="4" borderId="18" xfId="0" applyFont="1" applyFill="1" applyBorder="1"/>
    <xf numFmtId="0" fontId="6" fillId="4" borderId="19" xfId="0" applyFont="1" applyFill="1" applyBorder="1"/>
    <xf numFmtId="0" fontId="6" fillId="4" borderId="20" xfId="0" applyFont="1" applyFill="1" applyBorder="1"/>
    <xf numFmtId="0" fontId="6" fillId="4" borderId="15" xfId="0" applyFont="1" applyFill="1" applyBorder="1"/>
    <xf numFmtId="0" fontId="6" fillId="4" borderId="16" xfId="0" applyFont="1" applyFill="1" applyBorder="1" applyAlignment="1">
      <alignment wrapText="1"/>
    </xf>
    <xf numFmtId="0" fontId="6" fillId="4" borderId="16" xfId="0" applyFont="1" applyFill="1" applyBorder="1" applyProtection="1">
      <protection locked="0"/>
    </xf>
    <xf numFmtId="0" fontId="6" fillId="4" borderId="19" xfId="0" applyFont="1" applyFill="1" applyBorder="1" applyAlignment="1">
      <alignment wrapText="1"/>
    </xf>
    <xf numFmtId="0" fontId="6" fillId="4" borderId="19" xfId="0" applyFont="1" applyFill="1" applyBorder="1" applyProtection="1">
      <protection locked="0"/>
    </xf>
    <xf numFmtId="0" fontId="6" fillId="4" borderId="0" xfId="0" applyFont="1" applyFill="1" applyAlignment="1">
      <alignment wrapText="1"/>
    </xf>
    <xf numFmtId="0" fontId="6" fillId="4" borderId="0" xfId="0" applyFont="1" applyFill="1" applyProtection="1">
      <protection locked="0"/>
    </xf>
    <xf numFmtId="0" fontId="7" fillId="5" borderId="11" xfId="0" applyFont="1" applyFill="1" applyBorder="1" applyAlignment="1">
      <alignment wrapText="1"/>
    </xf>
    <xf numFmtId="0" fontId="7" fillId="5" borderId="11" xfId="0" applyFont="1" applyFill="1" applyBorder="1" applyProtection="1">
      <protection locked="0"/>
    </xf>
    <xf numFmtId="0" fontId="8" fillId="4" borderId="13" xfId="0" applyFont="1" applyFill="1" applyBorder="1" applyAlignment="1">
      <alignment wrapText="1"/>
    </xf>
    <xf numFmtId="0" fontId="8" fillId="4" borderId="13" xfId="0" applyFont="1" applyFill="1" applyBorder="1" applyProtection="1">
      <protection locked="0"/>
    </xf>
    <xf numFmtId="0" fontId="6" fillId="4" borderId="16" xfId="0" applyFont="1" applyFill="1" applyBorder="1" applyAlignment="1" applyProtection="1">
      <alignment horizontal="left"/>
      <protection locked="0"/>
    </xf>
    <xf numFmtId="0" fontId="6" fillId="4" borderId="17" xfId="0" applyFont="1" applyFill="1" applyBorder="1" applyAlignment="1" applyProtection="1">
      <alignment horizontal="left"/>
      <protection locked="0"/>
    </xf>
    <xf numFmtId="0" fontId="6" fillId="4" borderId="17" xfId="0" applyFont="1" applyFill="1" applyBorder="1"/>
    <xf numFmtId="0" fontId="6" fillId="7" borderId="0" xfId="0" applyFont="1" applyFill="1"/>
    <xf numFmtId="0" fontId="7" fillId="8" borderId="11" xfId="0" applyFont="1" applyFill="1" applyBorder="1"/>
    <xf numFmtId="0" fontId="8" fillId="7" borderId="12" xfId="0" applyFont="1" applyFill="1" applyBorder="1"/>
    <xf numFmtId="0" fontId="8" fillId="7" borderId="13" xfId="0" applyFont="1" applyFill="1" applyBorder="1"/>
    <xf numFmtId="0" fontId="8" fillId="7" borderId="14" xfId="0" applyFont="1" applyFill="1" applyBorder="1"/>
    <xf numFmtId="0" fontId="6" fillId="7" borderId="15" xfId="0" applyFont="1" applyFill="1" applyBorder="1" applyProtection="1">
      <protection locked="0"/>
    </xf>
    <xf numFmtId="49" fontId="6" fillId="7" borderId="16" xfId="0" applyNumberFormat="1" applyFont="1" applyFill="1" applyBorder="1" applyAlignment="1" applyProtection="1">
      <alignment horizontal="left" wrapText="1"/>
      <protection locked="0"/>
    </xf>
    <xf numFmtId="0" fontId="6" fillId="7" borderId="16" xfId="0" applyFont="1" applyFill="1" applyBorder="1" applyAlignment="1" applyProtection="1">
      <alignment horizontal="left" wrapText="1"/>
      <protection locked="0"/>
    </xf>
    <xf numFmtId="0" fontId="6" fillId="7" borderId="17" xfId="0" applyFont="1" applyFill="1" applyBorder="1" applyAlignment="1" applyProtection="1">
      <alignment horizontal="left" wrapText="1"/>
      <protection locked="0"/>
    </xf>
    <xf numFmtId="0" fontId="6" fillId="7" borderId="18" xfId="0" applyFont="1" applyFill="1" applyBorder="1" applyProtection="1">
      <protection locked="0"/>
    </xf>
    <xf numFmtId="49" fontId="6" fillId="7" borderId="19" xfId="0" applyNumberFormat="1" applyFont="1" applyFill="1" applyBorder="1" applyAlignment="1" applyProtection="1">
      <alignment horizontal="left" wrapText="1"/>
      <protection locked="0"/>
    </xf>
    <xf numFmtId="0" fontId="6" fillId="7" borderId="19" xfId="0" applyFont="1" applyFill="1" applyBorder="1" applyAlignment="1" applyProtection="1">
      <alignment horizontal="left" wrapText="1"/>
      <protection locked="0"/>
    </xf>
    <xf numFmtId="0" fontId="6" fillId="7" borderId="20" xfId="0" applyFont="1" applyFill="1" applyBorder="1" applyAlignment="1" applyProtection="1">
      <alignment horizontal="left" wrapText="1"/>
      <protection locked="0"/>
    </xf>
    <xf numFmtId="164" fontId="6" fillId="7" borderId="15" xfId="0" applyNumberFormat="1" applyFont="1" applyFill="1" applyBorder="1" applyProtection="1">
      <protection locked="0"/>
    </xf>
    <xf numFmtId="0" fontId="6" fillId="7" borderId="18" xfId="0" applyFont="1" applyFill="1" applyBorder="1"/>
    <xf numFmtId="0" fontId="6" fillId="7" borderId="19" xfId="0" applyFont="1" applyFill="1" applyBorder="1"/>
    <xf numFmtId="0" fontId="6" fillId="7" borderId="20" xfId="0" applyFont="1" applyFill="1" applyBorder="1"/>
    <xf numFmtId="0" fontId="6" fillId="7" borderId="15" xfId="0" applyFont="1" applyFill="1" applyBorder="1"/>
    <xf numFmtId="0" fontId="6" fillId="7" borderId="16" xfId="0" applyFont="1" applyFill="1" applyBorder="1" applyAlignment="1">
      <alignment wrapText="1"/>
    </xf>
    <xf numFmtId="0" fontId="6" fillId="7" borderId="16" xfId="0" applyFont="1" applyFill="1" applyBorder="1" applyProtection="1">
      <protection locked="0"/>
    </xf>
    <xf numFmtId="0" fontId="6" fillId="7" borderId="19" xfId="0" applyFont="1" applyFill="1" applyBorder="1" applyAlignment="1">
      <alignment wrapText="1"/>
    </xf>
    <xf numFmtId="0" fontId="6" fillId="7" borderId="19" xfId="0" applyFont="1" applyFill="1" applyBorder="1" applyProtection="1">
      <protection locked="0"/>
    </xf>
    <xf numFmtId="0" fontId="6" fillId="7" borderId="0" xfId="0" applyFont="1" applyFill="1" applyAlignment="1">
      <alignment wrapText="1"/>
    </xf>
    <xf numFmtId="0" fontId="6" fillId="7" borderId="0" xfId="0" applyFont="1" applyFill="1" applyProtection="1">
      <protection locked="0"/>
    </xf>
    <xf numFmtId="0" fontId="7" fillId="8" borderId="11" xfId="0" applyFont="1" applyFill="1" applyBorder="1" applyAlignment="1">
      <alignment wrapText="1"/>
    </xf>
    <xf numFmtId="0" fontId="7" fillId="8" borderId="11" xfId="0" applyFont="1" applyFill="1" applyBorder="1" applyProtection="1">
      <protection locked="0"/>
    </xf>
    <xf numFmtId="0" fontId="8" fillId="7" borderId="13" xfId="0" applyFont="1" applyFill="1" applyBorder="1" applyAlignment="1">
      <alignment wrapText="1"/>
    </xf>
    <xf numFmtId="0" fontId="8" fillId="7" borderId="13" xfId="0" applyFont="1" applyFill="1" applyBorder="1" applyProtection="1">
      <protection locked="0"/>
    </xf>
    <xf numFmtId="0" fontId="6" fillId="7" borderId="16" xfId="0" applyFont="1" applyFill="1" applyBorder="1" applyAlignment="1" applyProtection="1">
      <alignment horizontal="left"/>
      <protection locked="0"/>
    </xf>
    <xf numFmtId="0" fontId="6" fillId="7" borderId="17" xfId="0" applyFont="1" applyFill="1" applyBorder="1" applyAlignment="1" applyProtection="1">
      <alignment horizontal="left"/>
      <protection locked="0"/>
    </xf>
    <xf numFmtId="0" fontId="6" fillId="7" borderId="16" xfId="0" applyFont="1" applyFill="1" applyBorder="1"/>
    <xf numFmtId="0" fontId="6" fillId="7" borderId="17" xfId="0" applyFont="1" applyFill="1" applyBorder="1"/>
    <xf numFmtId="0" fontId="6" fillId="4" borderId="16" xfId="0" applyFont="1" applyFill="1" applyBorder="1"/>
    <xf numFmtId="0" fontId="0" fillId="7" borderId="15" xfId="0" applyFill="1" applyBorder="1"/>
    <xf numFmtId="0" fontId="0" fillId="7" borderId="16" xfId="0" applyFill="1" applyBorder="1"/>
    <xf numFmtId="0" fontId="0" fillId="7" borderId="17" xfId="0" applyFill="1" applyBorder="1"/>
    <xf numFmtId="0" fontId="0" fillId="7" borderId="18" xfId="0" applyFill="1" applyBorder="1"/>
    <xf numFmtId="0" fontId="0" fillId="7" borderId="19" xfId="0" applyFill="1" applyBorder="1"/>
    <xf numFmtId="0" fontId="0" fillId="7" borderId="20" xfId="0" applyFill="1" applyBorder="1"/>
    <xf numFmtId="0" fontId="9" fillId="5" borderId="11" xfId="1" applyFill="1" applyBorder="1"/>
    <xf numFmtId="0" fontId="6" fillId="4" borderId="16" xfId="0" applyFont="1" applyFill="1" applyBorder="1" applyAlignment="1" applyProtection="1">
      <alignment horizontal="left" vertical="top" wrapText="1"/>
      <protection locked="0"/>
    </xf>
    <xf numFmtId="0" fontId="6" fillId="4" borderId="17" xfId="0" applyFont="1" applyFill="1" applyBorder="1" applyAlignment="1" applyProtection="1">
      <alignment horizontal="left" vertical="top" wrapText="1"/>
      <protection locked="0"/>
    </xf>
    <xf numFmtId="49" fontId="6" fillId="4" borderId="16" xfId="0" applyNumberFormat="1" applyFont="1" applyFill="1" applyBorder="1" applyAlignment="1" applyProtection="1">
      <alignment horizontal="left" vertical="top" wrapText="1"/>
      <protection locked="0"/>
    </xf>
    <xf numFmtId="0" fontId="5" fillId="3" borderId="10" xfId="0" applyFont="1" applyFill="1" applyBorder="1"/>
    <xf numFmtId="0" fontId="0" fillId="0" borderId="21" xfId="0" applyBorder="1"/>
    <xf numFmtId="0" fontId="0" fillId="0" borderId="22" xfId="0" applyBorder="1"/>
    <xf numFmtId="0" fontId="5" fillId="6" borderId="10" xfId="0" applyFont="1" applyFill="1" applyBorder="1"/>
  </cellXfs>
  <cellStyles count="2">
    <cellStyle name="Hyperlink" xfId="1" builtinId="8"/>
    <cellStyle name="Standaard" xfId="0" builtinId="0"/>
  </cellStyles>
  <dxfs count="15">
    <dxf>
      <border>
        <left style="thin">
          <color indexed="64"/>
        </left>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DF0F0"/>
      <rgbColor rgb="FFEDF7FC"/>
      <rgbColor rgb="FF660066"/>
      <rgbColor rgb="FFFF8080"/>
      <rgbColor rgb="FF0066CC"/>
      <rgbColor rgb="FFB3E3F6"/>
      <rgbColor rgb="FF000080"/>
      <rgbColor rgb="FFFF00FF"/>
      <rgbColor rgb="FFFFFF00"/>
      <rgbColor rgb="FF00FFFF"/>
      <rgbColor rgb="FF800080"/>
      <rgbColor rgb="FF800000"/>
      <rgbColor rgb="FF008080"/>
      <rgbColor rgb="FF0000FF"/>
      <rgbColor rgb="FF00A1E1"/>
      <rgbColor rgb="FFCCFFFF"/>
      <rgbColor rgb="FFCCFFCC"/>
      <rgbColor rgb="FFFFFF99"/>
      <rgbColor rgb="FF99CCFF"/>
      <rgbColor rgb="FFFF99CC"/>
      <rgbColor rgb="FFCC99FF"/>
      <rgbColor rgb="FFFACAC9"/>
      <rgbColor rgb="FF3366FF"/>
      <rgbColor rgb="FF33CCCC"/>
      <rgbColor rgb="FF99CC00"/>
      <rgbColor rgb="FFFFCC00"/>
      <rgbColor rgb="FFFF9900"/>
      <rgbColor rgb="FFFF6600"/>
      <rgbColor rgb="FF666699"/>
      <rgbColor rgb="FF999999"/>
      <rgbColor rgb="FF003366"/>
      <rgbColor rgb="FF339966"/>
      <rgbColor rgb="FF003300"/>
      <rgbColor rgb="FF1A1A1A"/>
      <rgbColor rgb="FFE6302B"/>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1" displayName="Tabel1" ref="A1:K7" totalsRowShown="0" headerRowDxfId="14" headerRowBorderDxfId="13" tableBorderDxfId="12" totalsRowBorderDxfId="11">
  <autoFilter ref="A1:K7"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LU" dataDxfId="10"/>
    <tableColumn id="2" xr3:uid="{00000000-0010-0000-0000-000002000000}" name="Doel" dataDxfId="9"/>
    <tableColumn id="3" xr3:uid="{00000000-0010-0000-0000-000003000000}" name="Behaald" dataDxfId="8"/>
    <tableColumn id="4" xr3:uid="{00000000-0010-0000-0000-000004000000}" name="Sprint 1" dataDxfId="7"/>
    <tableColumn id="5" xr3:uid="{00000000-0010-0000-0000-000005000000}" name="Sprint 2" dataDxfId="6"/>
    <tableColumn id="6" xr3:uid="{00000000-0010-0000-0000-000006000000}" name="Sprint 3" dataDxfId="5"/>
    <tableColumn id="7" xr3:uid="{00000000-0010-0000-0000-000007000000}" name="Sprint 4" dataDxfId="4"/>
    <tableColumn id="8" xr3:uid="{00000000-0010-0000-0000-000008000000}" name="Sprint 5" dataDxfId="3"/>
    <tableColumn id="9" xr3:uid="{00000000-0010-0000-0000-000009000000}" name="Sprint 6" dataDxfId="2"/>
    <tableColumn id="10" xr3:uid="{00000000-0010-0000-0000-00000A000000}" name="Sprint 7" dataDxfId="1"/>
    <tableColumn id="11" xr3:uid="{00000000-0010-0000-0000-00000B000000}" name="Sprint 8"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2" displayName="Tabel2" ref="A4:D9" totalsRowShown="0">
  <tableColumns count="4">
    <tableColumn id="1" xr3:uid="{00000000-0010-0000-0100-000001000000}" name="Story"/>
    <tableColumn id="2" xr3:uid="{00000000-0010-0000-0100-000002000000}" name="Story Omschrijving"/>
    <tableColumn id="3" xr3:uid="{00000000-0010-0000-0100-000003000000}" name="Acceptatie Criteria"/>
    <tableColumn id="4" xr3:uid="{00000000-0010-0000-0100-000004000000}" name="Kwaliteitscriteri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213" displayName="Tabel213" ref="A32:D37" totalsRowShown="0">
  <tableColumns count="4">
    <tableColumn id="1" xr3:uid="{00000000-0010-0000-0200-000001000000}" name="Story"/>
    <tableColumn id="2" xr3:uid="{00000000-0010-0000-0200-000002000000}" name="Story Omschrijving"/>
    <tableColumn id="3" xr3:uid="{00000000-0010-0000-0200-000003000000}" name="Acceptatie Criteria"/>
    <tableColumn id="4" xr3:uid="{00000000-0010-0000-0200-000004000000}" name="Kwaliteitscriteri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21317" displayName="Tabel21317" ref="A60:D65" totalsRowShown="0">
  <tableColumns count="4">
    <tableColumn id="1" xr3:uid="{00000000-0010-0000-0300-000001000000}" name="Story"/>
    <tableColumn id="2" xr3:uid="{00000000-0010-0000-0300-000002000000}" name="Story Omschrijving"/>
    <tableColumn id="3" xr3:uid="{00000000-0010-0000-0300-000003000000}" name="Acceptatie Criteria"/>
    <tableColumn id="4" xr3:uid="{00000000-0010-0000-0300-000004000000}" name="Kwaliteitscriteri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2131721" displayName="Tabel2131721" ref="A88:D93" totalsRowShown="0">
  <tableColumns count="4">
    <tableColumn id="1" xr3:uid="{00000000-0010-0000-0400-000001000000}" name="Story"/>
    <tableColumn id="2" xr3:uid="{00000000-0010-0000-0400-000002000000}" name="Story Omschrijving"/>
    <tableColumn id="3" xr3:uid="{00000000-0010-0000-0400-000003000000}" name="Acceptatie Criteria"/>
    <tableColumn id="4" xr3:uid="{00000000-0010-0000-0400-000004000000}" name="Kwaliteitscriteri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el213172125" displayName="Tabel213172125" ref="A116:D121" totalsRowShown="0">
  <tableColumns count="4">
    <tableColumn id="1" xr3:uid="{00000000-0010-0000-0500-000001000000}" name="Story"/>
    <tableColumn id="2" xr3:uid="{00000000-0010-0000-0500-000002000000}" name="Story Omschrijving"/>
    <tableColumn id="3" xr3:uid="{00000000-0010-0000-0500-000003000000}" name="Acceptatie Criteria"/>
    <tableColumn id="4" xr3:uid="{00000000-0010-0000-0500-000004000000}" name="Kwaliteitscriteri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el21317212529" displayName="Tabel21317212529" ref="A144:D149" totalsRowShown="0">
  <tableColumns count="4">
    <tableColumn id="1" xr3:uid="{00000000-0010-0000-0600-000001000000}" name="Story"/>
    <tableColumn id="2" xr3:uid="{00000000-0010-0000-0600-000002000000}" name="Story Omschrijving"/>
    <tableColumn id="3" xr3:uid="{00000000-0010-0000-0600-000003000000}" name="Acceptatie Criteria"/>
    <tableColumn id="4" xr3:uid="{00000000-0010-0000-0600-000004000000}" name="Kwaliteitscriteri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el2131721252933" displayName="Tabel2131721252933" ref="A172:D177" totalsRowShown="0">
  <tableColumns count="4">
    <tableColumn id="1" xr3:uid="{00000000-0010-0000-0700-000001000000}" name="Story"/>
    <tableColumn id="2" xr3:uid="{00000000-0010-0000-0700-000002000000}" name="Story Omschrijving"/>
    <tableColumn id="3" xr3:uid="{00000000-0010-0000-0700-000003000000}" name="Acceptatie Criteria"/>
    <tableColumn id="4" xr3:uid="{00000000-0010-0000-0700-000004000000}" name="Kwaliteitscriteri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el213172125293337" displayName="Tabel213172125293337" ref="A200:D205" totalsRowShown="0">
  <tableColumns count="4">
    <tableColumn id="1" xr3:uid="{00000000-0010-0000-0800-000001000000}" name="Story"/>
    <tableColumn id="2" xr3:uid="{00000000-0010-0000-0800-000002000000}" name="Story Omschrijving"/>
    <tableColumn id="3" xr3:uid="{00000000-0010-0000-0800-000003000000}" name="Acceptatie Criteria"/>
    <tableColumn id="4" xr3:uid="{00000000-0010-0000-0800-000004000000}" name="Kwaliteitscriteria"/>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el5" displayName="Tabel5" ref="A17:D22" totalsRowShown="0">
  <autoFilter ref="A17:D22" xr:uid="{00000000-0009-0000-0100-00000A000000}">
    <filterColumn colId="0" hiddenButton="1"/>
    <filterColumn colId="1" hiddenButton="1"/>
    <filterColumn colId="2" hiddenButton="1"/>
    <filterColumn colId="3" hiddenButton="1"/>
  </autoFilter>
  <tableColumns count="4">
    <tableColumn id="1" xr3:uid="{00000000-0010-0000-0900-000001000000}" name="LU"/>
    <tableColumn id="2" xr3:uid="{00000000-0010-0000-0900-000002000000}" name="Leeruitkomst"/>
    <tableColumn id="3" xr3:uid="{00000000-0010-0000-0900-000003000000}" name="Niveau"/>
    <tableColumn id="4" xr3:uid="{00000000-0010-0000-0900-000004000000}" name="Argumentatie en bewijs"/>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el514" displayName="Tabel514" ref="A45:D50" totalsRowShown="0">
  <autoFilter ref="A45:D50" xr:uid="{00000000-0009-0000-0100-00000B000000}"/>
  <tableColumns count="4">
    <tableColumn id="1" xr3:uid="{00000000-0010-0000-0A00-000001000000}" name="LU"/>
    <tableColumn id="2" xr3:uid="{00000000-0010-0000-0A00-000002000000}" name="Leeruitkomst"/>
    <tableColumn id="3" xr3:uid="{00000000-0010-0000-0A00-000003000000}" name="Niveau"/>
    <tableColumn id="4" xr3:uid="{00000000-0010-0000-0A00-000004000000}" name="Argumentatie en bewijs"/>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el51418" displayName="Tabel51418" ref="A73:D78" totalsRowShown="0">
  <autoFilter ref="A73:D78" xr:uid="{00000000-0009-0000-0100-00000C000000}"/>
  <tableColumns count="4">
    <tableColumn id="1" xr3:uid="{00000000-0010-0000-0B00-000001000000}" name="LU"/>
    <tableColumn id="2" xr3:uid="{00000000-0010-0000-0B00-000002000000}" name="Leeruitkomst"/>
    <tableColumn id="3" xr3:uid="{00000000-0010-0000-0B00-000003000000}" name="Niveau"/>
    <tableColumn id="4" xr3:uid="{00000000-0010-0000-0B00-000004000000}" name="Argumentatie en bewijs"/>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el5141822" displayName="Tabel5141822" ref="A101:D106" totalsRowShown="0">
  <autoFilter ref="A101:D106" xr:uid="{00000000-0009-0000-0100-00000D000000}"/>
  <tableColumns count="4">
    <tableColumn id="1" xr3:uid="{00000000-0010-0000-0C00-000001000000}" name="LU"/>
    <tableColumn id="2" xr3:uid="{00000000-0010-0000-0C00-000002000000}" name="Leeruitkomst"/>
    <tableColumn id="3" xr3:uid="{00000000-0010-0000-0C00-000003000000}" name="Niveau"/>
    <tableColumn id="4" xr3:uid="{00000000-0010-0000-0C00-000004000000}" name="Argumentatie en bewijs"/>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el514182226" displayName="Tabel514182226" ref="A129:D134" totalsRowShown="0">
  <autoFilter ref="A129:D134" xr:uid="{00000000-0009-0000-0100-00000E000000}"/>
  <tableColumns count="4">
    <tableColumn id="1" xr3:uid="{00000000-0010-0000-0D00-000001000000}" name="LU"/>
    <tableColumn id="2" xr3:uid="{00000000-0010-0000-0D00-000002000000}" name="Leeruitkomst"/>
    <tableColumn id="3" xr3:uid="{00000000-0010-0000-0D00-000003000000}" name="Niveau"/>
    <tableColumn id="4" xr3:uid="{00000000-0010-0000-0D00-000004000000}" name="Argumentatie en bewijs"/>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el51418222630" displayName="Tabel51418222630" ref="A157:D162" totalsRowShown="0">
  <autoFilter ref="A157:D162" xr:uid="{00000000-0009-0000-0100-00000F000000}"/>
  <tableColumns count="4">
    <tableColumn id="1" xr3:uid="{00000000-0010-0000-0E00-000001000000}" name="LU"/>
    <tableColumn id="2" xr3:uid="{00000000-0010-0000-0E00-000002000000}" name="Leeruitkomst"/>
    <tableColumn id="3" xr3:uid="{00000000-0010-0000-0E00-000003000000}" name="Niveau"/>
    <tableColumn id="4" xr3:uid="{00000000-0010-0000-0E00-000004000000}" name="Argumentatie en bewijs"/>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el5141822263034" displayName="Tabel5141822263034" ref="A185:D190" totalsRowShown="0">
  <autoFilter ref="A185:D190" xr:uid="{00000000-0009-0000-0100-000010000000}"/>
  <tableColumns count="4">
    <tableColumn id="1" xr3:uid="{00000000-0010-0000-0F00-000001000000}" name="LU"/>
    <tableColumn id="2" xr3:uid="{00000000-0010-0000-0F00-000002000000}" name="Leeruitkomst"/>
    <tableColumn id="3" xr3:uid="{00000000-0010-0000-0F00-000003000000}" name="Niveau"/>
    <tableColumn id="4" xr3:uid="{00000000-0010-0000-0F00-000004000000}" name="Argumentatie en bewijs"/>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el514182226303438" displayName="Tabel514182226303438" ref="A213:D218" totalsRowShown="0">
  <autoFilter ref="A213:D218" xr:uid="{00000000-0009-0000-0100-000011000000}"/>
  <tableColumns count="4">
    <tableColumn id="1" xr3:uid="{00000000-0010-0000-1000-000001000000}" name="LU"/>
    <tableColumn id="2" xr3:uid="{00000000-0010-0000-1000-000002000000}" name="Leeruitkomst"/>
    <tableColumn id="3" xr3:uid="{00000000-0010-0000-1000-000003000000}" name="Niveau"/>
    <tableColumn id="4" xr3:uid="{00000000-0010-0000-1000-000004000000}" name="Argumentatie en bewijs"/>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el6" displayName="Tabel6" ref="A12:D14" totalsRowShown="0">
  <autoFilter ref="A12:D14" xr:uid="{00000000-0009-0000-0100-000012000000}">
    <filterColumn colId="0" hiddenButton="1"/>
    <filterColumn colId="1" hiddenButton="1"/>
    <filterColumn colId="2" hiddenButton="1"/>
    <filterColumn colId="3" hiddenButton="1"/>
  </autoFilter>
  <tableColumns count="4">
    <tableColumn id="1" xr3:uid="{00000000-0010-0000-1100-000001000000}" name="Datum"/>
    <tableColumn id="2" xr3:uid="{00000000-0010-0000-1100-000002000000}" name="Van wie"/>
    <tableColumn id="3" xr3:uid="{00000000-0010-0000-1100-000003000000}" name="Feedback"/>
    <tableColumn id="4" xr3:uid="{00000000-0010-0000-1100-000004000000}" name="Jouw actie"/>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el615" displayName="Tabel615" ref="A40:D42" totalsRowShown="0">
  <autoFilter ref="A40:D42" xr:uid="{00000000-0009-0000-0100-000013000000}"/>
  <tableColumns count="4">
    <tableColumn id="1" xr3:uid="{00000000-0010-0000-1200-000001000000}" name="Datum"/>
    <tableColumn id="2" xr3:uid="{00000000-0010-0000-1200-000002000000}" name="Van wie"/>
    <tableColumn id="3" xr3:uid="{00000000-0010-0000-1200-000003000000}" name="Feedback"/>
    <tableColumn id="4" xr3:uid="{00000000-0010-0000-1200-000004000000}" name="Jouw actie"/>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el61519" displayName="Tabel61519" ref="A68:D70" totalsRowShown="0">
  <autoFilter ref="A68:D70" xr:uid="{00000000-0009-0000-0100-000014000000}"/>
  <tableColumns count="4">
    <tableColumn id="1" xr3:uid="{00000000-0010-0000-1300-000001000000}" name="Datum"/>
    <tableColumn id="2" xr3:uid="{00000000-0010-0000-1300-000002000000}" name="Van wie"/>
    <tableColumn id="3" xr3:uid="{00000000-0010-0000-1300-000003000000}" name="Feedback"/>
    <tableColumn id="4" xr3:uid="{00000000-0010-0000-1300-000004000000}" name="Jouw actie"/>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el6151923" displayName="Tabel6151923" ref="A96:D98" totalsRowShown="0">
  <autoFilter ref="A96:D98" xr:uid="{00000000-0009-0000-0100-000015000000}"/>
  <tableColumns count="4">
    <tableColumn id="1" xr3:uid="{00000000-0010-0000-1400-000001000000}" name="Datum"/>
    <tableColumn id="2" xr3:uid="{00000000-0010-0000-1400-000002000000}" name="Van wie"/>
    <tableColumn id="3" xr3:uid="{00000000-0010-0000-1400-000003000000}" name="Feedback"/>
    <tableColumn id="4" xr3:uid="{00000000-0010-0000-1400-000004000000}" name="Jouw actie"/>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el615192327" displayName="Tabel615192327" ref="A124:D126" totalsRowShown="0">
  <autoFilter ref="A124:D126" xr:uid="{00000000-0009-0000-0100-000016000000}"/>
  <tableColumns count="4">
    <tableColumn id="1" xr3:uid="{00000000-0010-0000-1500-000001000000}" name="Datum"/>
    <tableColumn id="2" xr3:uid="{00000000-0010-0000-1500-000002000000}" name="Van wie"/>
    <tableColumn id="3" xr3:uid="{00000000-0010-0000-1500-000003000000}" name="Feedback"/>
    <tableColumn id="4" xr3:uid="{00000000-0010-0000-1500-000004000000}" name="Jouw actie"/>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el61519232731" displayName="Tabel61519232731" ref="A152:D154" totalsRowShown="0">
  <autoFilter ref="A152:D154" xr:uid="{00000000-0009-0000-0100-000017000000}"/>
  <tableColumns count="4">
    <tableColumn id="1" xr3:uid="{00000000-0010-0000-1600-000001000000}" name="Datum"/>
    <tableColumn id="2" xr3:uid="{00000000-0010-0000-1600-000002000000}" name="Van wie"/>
    <tableColumn id="3" xr3:uid="{00000000-0010-0000-1600-000003000000}" name="Feedback"/>
    <tableColumn id="4" xr3:uid="{00000000-0010-0000-1600-000004000000}" name="Jouw actie"/>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el6151923273135" displayName="Tabel6151923273135" ref="A180:D182" totalsRowShown="0">
  <autoFilter ref="A180:D182" xr:uid="{00000000-0009-0000-0100-000018000000}"/>
  <tableColumns count="4">
    <tableColumn id="1" xr3:uid="{00000000-0010-0000-1700-000001000000}" name="Datum"/>
    <tableColumn id="2" xr3:uid="{00000000-0010-0000-1700-000002000000}" name="Van wie"/>
    <tableColumn id="3" xr3:uid="{00000000-0010-0000-1700-000003000000}" name="Feedback"/>
    <tableColumn id="4" xr3:uid="{00000000-0010-0000-1700-000004000000}" name="Jouw actie"/>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el615192327313539" displayName="Tabel615192327313539" ref="A208:D210" totalsRowShown="0">
  <autoFilter ref="A208:D210" xr:uid="{00000000-0009-0000-0100-000019000000}"/>
  <tableColumns count="4">
    <tableColumn id="1" xr3:uid="{00000000-0010-0000-1800-000001000000}" name="Datum"/>
    <tableColumn id="2" xr3:uid="{00000000-0010-0000-1800-000002000000}" name="Van wie"/>
    <tableColumn id="3" xr3:uid="{00000000-0010-0000-1800-000003000000}" name="Feedback"/>
    <tableColumn id="4" xr3:uid="{00000000-0010-0000-1800-000004000000}" name="Jouw actie"/>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el7" displayName="Tabel7" ref="A25:D26" totalsRowShown="0">
  <autoFilter ref="A25:D26" xr:uid="{00000000-0009-0000-0100-00001A000000}">
    <filterColumn colId="0" hiddenButton="1"/>
    <filterColumn colId="1" hiddenButton="1"/>
    <filterColumn colId="2" hiddenButton="1"/>
    <filterColumn colId="3" hiddenButton="1"/>
  </autoFilter>
  <tableColumns count="4">
    <tableColumn id="1" xr3:uid="{00000000-0010-0000-1900-000001000000}" name="Datum"/>
    <tableColumn id="2" xr3:uid="{00000000-0010-0000-1900-000002000000}" name="Wat heb je geleerd?"/>
    <tableColumn id="3" xr3:uid="{00000000-0010-0000-1900-000003000000}" name="Wat behoud je?"/>
    <tableColumn id="4" xr3:uid="{00000000-0010-0000-1900-000004000000}" name="Wat ga je anders doen?"/>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el716" displayName="Tabel716" ref="A53:D54" totalsRowShown="0">
  <autoFilter ref="A53:D54" xr:uid="{00000000-0009-0000-0100-00001B000000}"/>
  <tableColumns count="4">
    <tableColumn id="1" xr3:uid="{00000000-0010-0000-1A00-000001000000}" name="Datum"/>
    <tableColumn id="2" xr3:uid="{00000000-0010-0000-1A00-000002000000}" name="Wat heb je geleerd?"/>
    <tableColumn id="3" xr3:uid="{00000000-0010-0000-1A00-000003000000}" name="Wat behoud je?"/>
    <tableColumn id="4" xr3:uid="{00000000-0010-0000-1A00-000004000000}" name="Wat ga je anders doen?"/>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el71620" displayName="Tabel71620" ref="A81:D82" totalsRowShown="0">
  <autoFilter ref="A81:D82" xr:uid="{00000000-0009-0000-0100-00001C000000}"/>
  <tableColumns count="4">
    <tableColumn id="1" xr3:uid="{00000000-0010-0000-1B00-000001000000}" name="Datum"/>
    <tableColumn id="2" xr3:uid="{00000000-0010-0000-1B00-000002000000}" name="Wat heb je geleerd?"/>
    <tableColumn id="3" xr3:uid="{00000000-0010-0000-1B00-000003000000}" name="Wat behoud je?"/>
    <tableColumn id="4" xr3:uid="{00000000-0010-0000-1B00-000004000000}" name="Wat ga je anders doen?"/>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el7162024" displayName="Tabel7162024" ref="A109:D110" totalsRowShown="0">
  <autoFilter ref="A109:D110" xr:uid="{00000000-0009-0000-0100-00001D000000}"/>
  <tableColumns count="4">
    <tableColumn id="1" xr3:uid="{00000000-0010-0000-1C00-000001000000}" name="Datum"/>
    <tableColumn id="2" xr3:uid="{00000000-0010-0000-1C00-000002000000}" name="Wat heb je geleerd?"/>
    <tableColumn id="3" xr3:uid="{00000000-0010-0000-1C00-000003000000}" name="Wat behoud je?"/>
    <tableColumn id="4" xr3:uid="{00000000-0010-0000-1C00-000004000000}" name="Wat ga je anders doen?"/>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el716202428" displayName="Tabel716202428" ref="A137:D138" totalsRowShown="0">
  <autoFilter ref="A137:D138" xr:uid="{00000000-0009-0000-0100-00001E000000}"/>
  <tableColumns count="4">
    <tableColumn id="1" xr3:uid="{00000000-0010-0000-1D00-000001000000}" name="Datum"/>
    <tableColumn id="2" xr3:uid="{00000000-0010-0000-1D00-000002000000}" name="Wat heb je geleerd?"/>
    <tableColumn id="3" xr3:uid="{00000000-0010-0000-1D00-000003000000}" name="Wat behoud je?"/>
    <tableColumn id="4" xr3:uid="{00000000-0010-0000-1D00-000004000000}" name="Wat ga je anders doen?"/>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el71620242832" displayName="Tabel71620242832" ref="A165:D166" totalsRowShown="0">
  <autoFilter ref="A165:D166" xr:uid="{00000000-0009-0000-0100-00001F000000}"/>
  <tableColumns count="4">
    <tableColumn id="1" xr3:uid="{00000000-0010-0000-1E00-000001000000}" name="Datum"/>
    <tableColumn id="2" xr3:uid="{00000000-0010-0000-1E00-000002000000}" name="Wat heb je geleerd?"/>
    <tableColumn id="3" xr3:uid="{00000000-0010-0000-1E00-000003000000}" name="Wat behoud je?"/>
    <tableColumn id="4" xr3:uid="{00000000-0010-0000-1E00-000004000000}" name="Wat ga je anders doen?"/>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el7162024283236" displayName="Tabel7162024283236" ref="A193:D194" totalsRowShown="0">
  <autoFilter ref="A193:D194" xr:uid="{00000000-0009-0000-0100-000020000000}"/>
  <tableColumns count="4">
    <tableColumn id="1" xr3:uid="{00000000-0010-0000-1F00-000001000000}" name="Datum"/>
    <tableColumn id="2" xr3:uid="{00000000-0010-0000-1F00-000002000000}" name="Wat heb je geleerd?"/>
    <tableColumn id="3" xr3:uid="{00000000-0010-0000-1F00-000003000000}" name="Wat behoud je?"/>
    <tableColumn id="4" xr3:uid="{00000000-0010-0000-1F00-000004000000}" name="Wat ga je anders doen?"/>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el716202428323640" displayName="Tabel716202428323640" ref="A221:D222" totalsRowShown="0">
  <autoFilter ref="A221:D222" xr:uid="{00000000-0009-0000-0100-000021000000}"/>
  <tableColumns count="4">
    <tableColumn id="1" xr3:uid="{00000000-0010-0000-2000-000001000000}" name="Datum"/>
    <tableColumn id="2" xr3:uid="{00000000-0010-0000-2000-000002000000}" name="Wat heb je geleerd?"/>
    <tableColumn id="3" xr3:uid="{00000000-0010-0000-2000-000003000000}" name="Wat behoud je?"/>
    <tableColumn id="4" xr3:uid="{00000000-0010-0000-2000-000004000000}" name="Wat ga je anders doe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table" Target="../tables/table6.xml"/><Relationship Id="rId18" Type="http://schemas.openxmlformats.org/officeDocument/2006/relationships/table" Target="../tables/table11.xml"/><Relationship Id="rId26" Type="http://schemas.openxmlformats.org/officeDocument/2006/relationships/table" Target="../tables/table19.xml"/><Relationship Id="rId39" Type="http://schemas.openxmlformats.org/officeDocument/2006/relationships/table" Target="../tables/table32.xml"/><Relationship Id="rId21" Type="http://schemas.openxmlformats.org/officeDocument/2006/relationships/table" Target="../tables/table14.xml"/><Relationship Id="rId34" Type="http://schemas.openxmlformats.org/officeDocument/2006/relationships/table" Target="../tables/table27.xml"/><Relationship Id="rId7" Type="http://schemas.openxmlformats.org/officeDocument/2006/relationships/hyperlink" Target="https://gemini.google.com/gem/e1643241e823?usp=sharing" TargetMode="External"/><Relationship Id="rId12" Type="http://schemas.openxmlformats.org/officeDocument/2006/relationships/table" Target="../tables/table5.xml"/><Relationship Id="rId17" Type="http://schemas.openxmlformats.org/officeDocument/2006/relationships/table" Target="../tables/table10.xml"/><Relationship Id="rId25" Type="http://schemas.openxmlformats.org/officeDocument/2006/relationships/table" Target="../tables/table18.xml"/><Relationship Id="rId33" Type="http://schemas.openxmlformats.org/officeDocument/2006/relationships/table" Target="../tables/table26.xml"/><Relationship Id="rId38" Type="http://schemas.openxmlformats.org/officeDocument/2006/relationships/table" Target="../tables/table31.xml"/><Relationship Id="rId2" Type="http://schemas.openxmlformats.org/officeDocument/2006/relationships/hyperlink" Target="https://gemini.google.com/gem/e1643241e823?usp=sharing" TargetMode="External"/><Relationship Id="rId16" Type="http://schemas.openxmlformats.org/officeDocument/2006/relationships/table" Target="../tables/table9.xml"/><Relationship Id="rId20" Type="http://schemas.openxmlformats.org/officeDocument/2006/relationships/table" Target="../tables/table13.xml"/><Relationship Id="rId29" Type="http://schemas.openxmlformats.org/officeDocument/2006/relationships/table" Target="../tables/table22.xml"/><Relationship Id="rId1" Type="http://schemas.openxmlformats.org/officeDocument/2006/relationships/hyperlink" Target="https://gemini.google.com/gem/e1643241e823?usp=sharing" TargetMode="External"/><Relationship Id="rId6" Type="http://schemas.openxmlformats.org/officeDocument/2006/relationships/hyperlink" Target="https://gemini.google.com/gem/e1643241e823?usp=sharing" TargetMode="External"/><Relationship Id="rId11" Type="http://schemas.openxmlformats.org/officeDocument/2006/relationships/table" Target="../tables/table4.xml"/><Relationship Id="rId24" Type="http://schemas.openxmlformats.org/officeDocument/2006/relationships/table" Target="../tables/table17.xml"/><Relationship Id="rId32" Type="http://schemas.openxmlformats.org/officeDocument/2006/relationships/table" Target="../tables/table25.xml"/><Relationship Id="rId37" Type="http://schemas.openxmlformats.org/officeDocument/2006/relationships/table" Target="../tables/table30.xml"/><Relationship Id="rId40" Type="http://schemas.openxmlformats.org/officeDocument/2006/relationships/table" Target="../tables/table33.xml"/><Relationship Id="rId5" Type="http://schemas.openxmlformats.org/officeDocument/2006/relationships/hyperlink" Target="https://gemini.google.com/gem/e1643241e823?usp=sharing" TargetMode="External"/><Relationship Id="rId15" Type="http://schemas.openxmlformats.org/officeDocument/2006/relationships/table" Target="../tables/table8.xml"/><Relationship Id="rId23" Type="http://schemas.openxmlformats.org/officeDocument/2006/relationships/table" Target="../tables/table16.xml"/><Relationship Id="rId28" Type="http://schemas.openxmlformats.org/officeDocument/2006/relationships/table" Target="../tables/table21.xml"/><Relationship Id="rId36" Type="http://schemas.openxmlformats.org/officeDocument/2006/relationships/table" Target="../tables/table29.xml"/><Relationship Id="rId10" Type="http://schemas.openxmlformats.org/officeDocument/2006/relationships/table" Target="../tables/table3.xml"/><Relationship Id="rId19" Type="http://schemas.openxmlformats.org/officeDocument/2006/relationships/table" Target="../tables/table12.xml"/><Relationship Id="rId31" Type="http://schemas.openxmlformats.org/officeDocument/2006/relationships/table" Target="../tables/table24.xml"/><Relationship Id="rId4" Type="http://schemas.openxmlformats.org/officeDocument/2006/relationships/hyperlink" Target="https://gemini.google.com/gem/e1643241e823?usp=sharing" TargetMode="External"/><Relationship Id="rId9" Type="http://schemas.openxmlformats.org/officeDocument/2006/relationships/table" Target="../tables/table2.xml"/><Relationship Id="rId14" Type="http://schemas.openxmlformats.org/officeDocument/2006/relationships/table" Target="../tables/table7.xml"/><Relationship Id="rId22" Type="http://schemas.openxmlformats.org/officeDocument/2006/relationships/table" Target="../tables/table15.xml"/><Relationship Id="rId27" Type="http://schemas.openxmlformats.org/officeDocument/2006/relationships/table" Target="../tables/table20.xml"/><Relationship Id="rId30" Type="http://schemas.openxmlformats.org/officeDocument/2006/relationships/table" Target="../tables/table23.xml"/><Relationship Id="rId35" Type="http://schemas.openxmlformats.org/officeDocument/2006/relationships/table" Target="../tables/table28.xml"/><Relationship Id="rId8" Type="http://schemas.openxmlformats.org/officeDocument/2006/relationships/hyperlink" Target="https://gemini.google.com/gem/e1643241e823?usp=sharing" TargetMode="External"/><Relationship Id="rId3" Type="http://schemas.openxmlformats.org/officeDocument/2006/relationships/hyperlink" Target="https://gemini.google.com/gem/e1643241e823?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
  <sheetViews>
    <sheetView zoomScale="167" zoomScaleNormal="232" workbookViewId="0">
      <selection activeCell="E8" sqref="E8"/>
    </sheetView>
  </sheetViews>
  <sheetFormatPr baseColWidth="10" defaultColWidth="8.6640625" defaultRowHeight="15" x14ac:dyDescent="0.2"/>
  <cols>
    <col min="1" max="1" width="14.5" customWidth="1"/>
    <col min="2" max="2" width="6.5" customWidth="1"/>
    <col min="3" max="3" width="9.5" customWidth="1"/>
    <col min="4" max="11" width="9.1640625" style="1" customWidth="1"/>
  </cols>
  <sheetData>
    <row r="1" spans="1:11" ht="14.25" customHeight="1" x14ac:dyDescent="0.2">
      <c r="A1" s="2" t="s">
        <v>0</v>
      </c>
      <c r="B1" s="3" t="s">
        <v>1</v>
      </c>
      <c r="C1" s="3" t="s">
        <v>2</v>
      </c>
      <c r="D1" s="4" t="s">
        <v>3</v>
      </c>
      <c r="E1" s="5" t="s">
        <v>4</v>
      </c>
      <c r="F1" s="5" t="s">
        <v>5</v>
      </c>
      <c r="G1" s="5" t="s">
        <v>6</v>
      </c>
      <c r="H1" s="5" t="s">
        <v>7</v>
      </c>
      <c r="I1" s="5" t="s">
        <v>8</v>
      </c>
      <c r="J1" s="5" t="s">
        <v>9</v>
      </c>
      <c r="K1" s="6" t="s">
        <v>10</v>
      </c>
    </row>
    <row r="2" spans="1:11" ht="14.25" customHeight="1" x14ac:dyDescent="0.2">
      <c r="A2" s="7" t="s">
        <v>11</v>
      </c>
      <c r="B2" s="8">
        <v>2</v>
      </c>
      <c r="C2" s="8">
        <f>COUNTIF(D2:K2, "V")</f>
        <v>1</v>
      </c>
      <c r="D2" s="9" t="str">
        <f>Logboek!C18</f>
        <v>V</v>
      </c>
      <c r="E2" s="9" t="str">
        <f>Logboek!C46</f>
        <v>-</v>
      </c>
      <c r="F2" s="9" t="str">
        <f>Logboek!C74</f>
        <v>-</v>
      </c>
      <c r="G2" s="9" t="str">
        <f>Logboek!C102</f>
        <v>-</v>
      </c>
      <c r="H2" s="9" t="str">
        <f>Logboek!C130</f>
        <v>-</v>
      </c>
      <c r="I2" s="9" t="str">
        <f>Logboek!C158</f>
        <v>-</v>
      </c>
      <c r="J2" s="9" t="str">
        <f>Logboek!C186</f>
        <v>-</v>
      </c>
      <c r="K2" s="10" t="str">
        <f>Logboek!C214</f>
        <v>-</v>
      </c>
    </row>
    <row r="3" spans="1:11" ht="14.25" customHeight="1" x14ac:dyDescent="0.2">
      <c r="A3" s="7" t="s">
        <v>12</v>
      </c>
      <c r="B3" s="8">
        <v>4</v>
      </c>
      <c r="C3" s="8">
        <f>COUNTIF(D3:K3, "V")</f>
        <v>0</v>
      </c>
      <c r="D3" s="9" t="str">
        <f>Logboek!C19</f>
        <v>-</v>
      </c>
      <c r="E3" s="9" t="str">
        <f>Logboek!C47</f>
        <v>-</v>
      </c>
      <c r="F3" s="9" t="str">
        <f>Logboek!C75</f>
        <v>-</v>
      </c>
      <c r="G3" s="9" t="str">
        <f>Logboek!C103</f>
        <v>-</v>
      </c>
      <c r="H3" s="9" t="str">
        <f>Logboek!C131</f>
        <v>-</v>
      </c>
      <c r="I3" s="9" t="str">
        <f>Logboek!C159</f>
        <v>-</v>
      </c>
      <c r="J3" s="9" t="str">
        <f>Logboek!C187</f>
        <v>-</v>
      </c>
      <c r="K3" s="10" t="str">
        <f>Logboek!C215</f>
        <v>-</v>
      </c>
    </row>
    <row r="4" spans="1:11" ht="14.25" customHeight="1" x14ac:dyDescent="0.2">
      <c r="A4" s="7" t="s">
        <v>13</v>
      </c>
      <c r="B4" s="8">
        <v>2</v>
      </c>
      <c r="C4" s="8">
        <f>COUNTIF(D4:K4, "V")</f>
        <v>0</v>
      </c>
      <c r="D4" s="9" t="str">
        <f>Logboek!C20</f>
        <v>-</v>
      </c>
      <c r="E4" s="9" t="str">
        <f>Logboek!C48</f>
        <v>-</v>
      </c>
      <c r="F4" s="9" t="str">
        <f>Logboek!C76</f>
        <v>-</v>
      </c>
      <c r="G4" s="9" t="str">
        <f>Logboek!C104</f>
        <v>-</v>
      </c>
      <c r="H4" s="9" t="str">
        <f>Logboek!C132</f>
        <v>-</v>
      </c>
      <c r="I4" s="9" t="str">
        <f>Logboek!C160</f>
        <v>-</v>
      </c>
      <c r="J4" s="9" t="str">
        <f>Logboek!C188</f>
        <v>-</v>
      </c>
      <c r="K4" s="10" t="str">
        <f>Logboek!C216</f>
        <v>-</v>
      </c>
    </row>
    <row r="5" spans="1:11" ht="14.25" customHeight="1" x14ac:dyDescent="0.2">
      <c r="A5" s="7" t="s">
        <v>14</v>
      </c>
      <c r="B5" s="8">
        <v>4</v>
      </c>
      <c r="C5" s="8">
        <f>COUNTIF(D5:K5, "V")</f>
        <v>0</v>
      </c>
      <c r="D5" s="9" t="str">
        <f>Logboek!C21</f>
        <v>-</v>
      </c>
      <c r="E5" s="9" t="str">
        <f>Logboek!C49</f>
        <v>-</v>
      </c>
      <c r="F5" s="9" t="str">
        <f>Logboek!C77</f>
        <v>-</v>
      </c>
      <c r="G5" s="9" t="str">
        <f>Logboek!C105</f>
        <v>-</v>
      </c>
      <c r="H5" s="9" t="str">
        <f>Logboek!C133</f>
        <v>-</v>
      </c>
      <c r="I5" s="9" t="str">
        <f>Logboek!C161</f>
        <v>-</v>
      </c>
      <c r="J5" s="9" t="str">
        <f>Logboek!C189</f>
        <v>-</v>
      </c>
      <c r="K5" s="10" t="str">
        <f>Logboek!C217</f>
        <v>-</v>
      </c>
    </row>
    <row r="6" spans="1:11" ht="14.25" customHeight="1" x14ac:dyDescent="0.2">
      <c r="A6" s="7" t="s">
        <v>15</v>
      </c>
      <c r="B6" s="8">
        <v>6</v>
      </c>
      <c r="C6" s="8">
        <f>COUNTIF(D6:K6, "V")</f>
        <v>0</v>
      </c>
      <c r="D6" s="9" t="str">
        <f>Logboek!C22</f>
        <v>-</v>
      </c>
      <c r="E6" s="9" t="str">
        <f>Logboek!C50</f>
        <v>-</v>
      </c>
      <c r="F6" s="9" t="str">
        <f>Logboek!C78</f>
        <v>-</v>
      </c>
      <c r="G6" s="9" t="str">
        <f>Logboek!C106</f>
        <v>-</v>
      </c>
      <c r="H6" s="9" t="str">
        <f>Logboek!C134</f>
        <v>-</v>
      </c>
      <c r="I6" s="9" t="str">
        <f>Logboek!C162</f>
        <v>-</v>
      </c>
      <c r="J6" s="9" t="str">
        <f>Logboek!C190</f>
        <v>-</v>
      </c>
      <c r="K6" s="10" t="str">
        <f>Logboek!C218</f>
        <v>-</v>
      </c>
    </row>
    <row r="7" spans="1:11" ht="14.25" customHeight="1" x14ac:dyDescent="0.2">
      <c r="A7" s="11" t="s">
        <v>16</v>
      </c>
      <c r="B7" s="12">
        <f>SUM(B2:B6)</f>
        <v>18</v>
      </c>
      <c r="C7" s="12">
        <f>SUM(D6:K7)</f>
        <v>1</v>
      </c>
      <c r="D7" s="13">
        <f t="shared" ref="D7:K7" si="0">COUNTIF(D2:D6, "V")</f>
        <v>1</v>
      </c>
      <c r="E7" s="13">
        <f t="shared" si="0"/>
        <v>0</v>
      </c>
      <c r="F7" s="13">
        <f t="shared" si="0"/>
        <v>0</v>
      </c>
      <c r="G7" s="13">
        <f t="shared" si="0"/>
        <v>0</v>
      </c>
      <c r="H7" s="13">
        <f t="shared" si="0"/>
        <v>0</v>
      </c>
      <c r="I7" s="13">
        <f t="shared" si="0"/>
        <v>0</v>
      </c>
      <c r="J7" s="13">
        <f t="shared" si="0"/>
        <v>0</v>
      </c>
      <c r="K7" s="14">
        <f t="shared" si="0"/>
        <v>0</v>
      </c>
    </row>
  </sheetData>
  <hyperlinks>
    <hyperlink ref="D1" location="Logboek!A1" display="Sprint 1" xr:uid="{00000000-0004-0000-0000-000000000000}"/>
    <hyperlink ref="E1" location="Logboek!A29" display="Sprint 2" xr:uid="{00000000-0004-0000-0000-000001000000}"/>
    <hyperlink ref="F1" location="Logboek!A57" display="Sprint 3" xr:uid="{00000000-0004-0000-0000-000002000000}"/>
    <hyperlink ref="G1" location="Logboek!A85" display="Sprint 4" xr:uid="{00000000-0004-0000-0000-000003000000}"/>
    <hyperlink ref="H1" location="Logboek!A113" display="Sprint 5" xr:uid="{00000000-0004-0000-0000-000004000000}"/>
    <hyperlink ref="I1" location="Logboek!A141" display="Sprint 6" xr:uid="{00000000-0004-0000-0000-000005000000}"/>
    <hyperlink ref="J1" location="Logboek!A169" display="Sprint 7" xr:uid="{00000000-0004-0000-0000-000006000000}"/>
    <hyperlink ref="K1" location="Logboek!A197" display="Sprint 8" xr:uid="{00000000-0004-0000-0000-000007000000}"/>
  </hyperlinks>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4"/>
  <sheetViews>
    <sheetView tabSelected="1" topLeftCell="B1" zoomScale="110" zoomScaleNormal="141" workbookViewId="0">
      <selection activeCell="C6" sqref="C6"/>
    </sheetView>
  </sheetViews>
  <sheetFormatPr baseColWidth="10" defaultColWidth="8.6640625" defaultRowHeight="15" outlineLevelRow="1" x14ac:dyDescent="0.2"/>
  <cols>
    <col min="1" max="1" width="12" customWidth="1"/>
    <col min="2" max="2" width="56" customWidth="1"/>
    <col min="3" max="3" width="55.1640625" customWidth="1"/>
    <col min="4" max="4" width="59" customWidth="1"/>
  </cols>
  <sheetData>
    <row r="1" spans="1:4" ht="18" customHeight="1" x14ac:dyDescent="0.2">
      <c r="A1" s="89" t="s">
        <v>17</v>
      </c>
      <c r="B1" s="90"/>
      <c r="C1" s="90"/>
      <c r="D1" s="91"/>
    </row>
    <row r="2" spans="1:4" ht="14.25" customHeight="1" outlineLevel="1" x14ac:dyDescent="0.2">
      <c r="A2" s="15"/>
      <c r="B2" s="15"/>
      <c r="C2" s="15"/>
      <c r="D2" s="15"/>
    </row>
    <row r="3" spans="1:4" ht="15" customHeight="1" outlineLevel="1" x14ac:dyDescent="0.2">
      <c r="A3" s="16" t="s">
        <v>18</v>
      </c>
      <c r="B3" s="16"/>
      <c r="C3" s="85"/>
      <c r="D3" s="85" t="s">
        <v>19</v>
      </c>
    </row>
    <row r="4" spans="1:4" ht="14.25" customHeight="1" outlineLevel="1" x14ac:dyDescent="0.2">
      <c r="A4" s="17" t="s">
        <v>20</v>
      </c>
      <c r="B4" s="18" t="s">
        <v>21</v>
      </c>
      <c r="C4" s="18" t="s">
        <v>22</v>
      </c>
      <c r="D4" s="19" t="s">
        <v>23</v>
      </c>
    </row>
    <row r="5" spans="1:4" ht="139" customHeight="1" outlineLevel="1" x14ac:dyDescent="0.2">
      <c r="A5" s="20" t="s">
        <v>24</v>
      </c>
      <c r="B5" s="86" t="s">
        <v>25</v>
      </c>
      <c r="C5" s="86" t="s">
        <v>26</v>
      </c>
      <c r="D5" s="87" t="s">
        <v>27</v>
      </c>
    </row>
    <row r="6" spans="1:4" ht="175" customHeight="1" outlineLevel="1" x14ac:dyDescent="0.2">
      <c r="A6" s="20" t="s">
        <v>28</v>
      </c>
      <c r="B6" s="88" t="s">
        <v>71</v>
      </c>
      <c r="C6" s="86" t="s">
        <v>29</v>
      </c>
      <c r="D6" s="87" t="s">
        <v>30</v>
      </c>
    </row>
    <row r="7" spans="1:4" ht="119" customHeight="1" outlineLevel="1" x14ac:dyDescent="0.2">
      <c r="A7" s="20" t="s">
        <v>31</v>
      </c>
      <c r="B7" s="88" t="s">
        <v>70</v>
      </c>
      <c r="C7" s="86" t="s">
        <v>32</v>
      </c>
      <c r="D7" s="87" t="s">
        <v>33</v>
      </c>
    </row>
    <row r="8" spans="1:4" ht="43.5" customHeight="1" outlineLevel="1" x14ac:dyDescent="0.2">
      <c r="A8" s="20"/>
      <c r="B8" s="23"/>
      <c r="C8" s="21"/>
      <c r="D8" s="22"/>
    </row>
    <row r="9" spans="1:4" ht="43.5" customHeight="1" outlineLevel="1" x14ac:dyDescent="0.2">
      <c r="A9" s="24"/>
      <c r="B9" s="25"/>
      <c r="C9" s="26"/>
      <c r="D9" s="27"/>
    </row>
    <row r="10" spans="1:4" ht="14.25" customHeight="1" outlineLevel="1" x14ac:dyDescent="0.2">
      <c r="A10" s="15"/>
      <c r="B10" s="15"/>
      <c r="C10" s="15"/>
      <c r="D10" s="15"/>
    </row>
    <row r="11" spans="1:4" ht="15" customHeight="1" outlineLevel="1" x14ac:dyDescent="0.2">
      <c r="A11" s="16" t="s">
        <v>36</v>
      </c>
      <c r="B11" s="16"/>
      <c r="C11" s="16"/>
      <c r="D11" s="16"/>
    </row>
    <row r="12" spans="1:4" ht="14.25" customHeight="1" outlineLevel="1" x14ac:dyDescent="0.2">
      <c r="A12" s="17" t="s">
        <v>37</v>
      </c>
      <c r="B12" s="18" t="s">
        <v>38</v>
      </c>
      <c r="C12" s="18" t="s">
        <v>39</v>
      </c>
      <c r="D12" s="19" t="s">
        <v>40</v>
      </c>
    </row>
    <row r="13" spans="1:4" ht="14.25" customHeight="1" outlineLevel="1" x14ac:dyDescent="0.2">
      <c r="A13" s="28"/>
      <c r="B13" s="21"/>
      <c r="C13" s="21"/>
      <c r="D13" s="22"/>
    </row>
    <row r="14" spans="1:4" ht="14.25" customHeight="1" outlineLevel="1" x14ac:dyDescent="0.2">
      <c r="A14" s="28"/>
      <c r="B14" s="21"/>
      <c r="C14" s="21"/>
      <c r="D14" s="22"/>
    </row>
    <row r="15" spans="1:4" ht="14.25" customHeight="1" outlineLevel="1" x14ac:dyDescent="0.2">
      <c r="A15" s="29"/>
      <c r="B15" s="30"/>
      <c r="C15" s="30"/>
      <c r="D15" s="31"/>
    </row>
    <row r="16" spans="1:4" ht="15" customHeight="1" outlineLevel="1" x14ac:dyDescent="0.2">
      <c r="A16" s="16" t="s">
        <v>41</v>
      </c>
      <c r="B16" s="16"/>
      <c r="C16" s="16"/>
      <c r="D16" s="16"/>
    </row>
    <row r="17" spans="1:4" ht="14.25" customHeight="1" outlineLevel="1" x14ac:dyDescent="0.2">
      <c r="A17" s="17" t="s">
        <v>0</v>
      </c>
      <c r="B17" s="18" t="s">
        <v>42</v>
      </c>
      <c r="C17" s="18" t="s">
        <v>43</v>
      </c>
      <c r="D17" s="19" t="s">
        <v>44</v>
      </c>
    </row>
    <row r="18" spans="1:4" ht="28.5" customHeight="1" outlineLevel="1" x14ac:dyDescent="0.2">
      <c r="A18" s="32" t="s">
        <v>45</v>
      </c>
      <c r="B18" s="33" t="s">
        <v>46</v>
      </c>
      <c r="C18" s="34" t="s">
        <v>47</v>
      </c>
      <c r="D18" s="22"/>
    </row>
    <row r="19" spans="1:4" ht="28.5" customHeight="1" outlineLevel="1" x14ac:dyDescent="0.2">
      <c r="A19" s="32" t="s">
        <v>48</v>
      </c>
      <c r="B19" s="33" t="s">
        <v>49</v>
      </c>
      <c r="C19" s="34" t="s">
        <v>50</v>
      </c>
      <c r="D19" s="22"/>
    </row>
    <row r="20" spans="1:4" ht="28.5" customHeight="1" outlineLevel="1" x14ac:dyDescent="0.2">
      <c r="A20" s="32" t="s">
        <v>51</v>
      </c>
      <c r="B20" s="33" t="s">
        <v>52</v>
      </c>
      <c r="C20" s="34" t="s">
        <v>50</v>
      </c>
      <c r="D20" s="22"/>
    </row>
    <row r="21" spans="1:4" ht="14.25" customHeight="1" outlineLevel="1" x14ac:dyDescent="0.2">
      <c r="A21" s="32" t="s">
        <v>53</v>
      </c>
      <c r="B21" s="33" t="s">
        <v>54</v>
      </c>
      <c r="C21" s="34" t="s">
        <v>50</v>
      </c>
      <c r="D21" s="22"/>
    </row>
    <row r="22" spans="1:4" ht="14.25" customHeight="1" outlineLevel="1" x14ac:dyDescent="0.2">
      <c r="A22" s="29" t="s">
        <v>55</v>
      </c>
      <c r="B22" s="35" t="s">
        <v>56</v>
      </c>
      <c r="C22" s="36" t="s">
        <v>50</v>
      </c>
      <c r="D22" s="27"/>
    </row>
    <row r="23" spans="1:4" ht="14.25" customHeight="1" outlineLevel="1" x14ac:dyDescent="0.2">
      <c r="A23" s="15"/>
      <c r="B23" s="37"/>
      <c r="C23" s="38"/>
      <c r="D23" s="38"/>
    </row>
    <row r="24" spans="1:4" ht="14.25" customHeight="1" outlineLevel="1" x14ac:dyDescent="0.2">
      <c r="A24" s="16" t="s">
        <v>57</v>
      </c>
      <c r="B24" s="39"/>
      <c r="C24" s="40"/>
      <c r="D24" s="40"/>
    </row>
    <row r="25" spans="1:4" ht="14.25" customHeight="1" outlineLevel="1" x14ac:dyDescent="0.2">
      <c r="A25" s="17" t="s">
        <v>37</v>
      </c>
      <c r="B25" s="41" t="s">
        <v>58</v>
      </c>
      <c r="C25" s="42" t="s">
        <v>59</v>
      </c>
      <c r="D25" s="19" t="s">
        <v>60</v>
      </c>
    </row>
    <row r="26" spans="1:4" ht="14.25" customHeight="1" outlineLevel="1" x14ac:dyDescent="0.2">
      <c r="A26" s="28"/>
      <c r="B26" s="21"/>
      <c r="C26" s="43"/>
      <c r="D26" s="44"/>
    </row>
    <row r="27" spans="1:4" ht="14.25" customHeight="1" outlineLevel="1" x14ac:dyDescent="0.2">
      <c r="A27" s="32"/>
      <c r="B27" s="33"/>
      <c r="C27" s="34"/>
      <c r="D27" s="45"/>
    </row>
    <row r="28" spans="1:4" ht="14.25" customHeight="1" x14ac:dyDescent="0.2">
      <c r="A28" s="29"/>
      <c r="B28" s="30"/>
      <c r="C28" s="30"/>
      <c r="D28" s="31"/>
    </row>
    <row r="29" spans="1:4" ht="18" customHeight="1" x14ac:dyDescent="0.2">
      <c r="A29" s="92" t="s">
        <v>61</v>
      </c>
      <c r="B29" s="90"/>
      <c r="C29" s="90"/>
      <c r="D29" s="91"/>
    </row>
    <row r="30" spans="1:4" ht="14.25" customHeight="1" outlineLevel="1" x14ac:dyDescent="0.2">
      <c r="A30" s="46"/>
      <c r="B30" s="46"/>
      <c r="C30" s="46"/>
      <c r="D30" s="46"/>
    </row>
    <row r="31" spans="1:4" ht="15" customHeight="1" outlineLevel="1" x14ac:dyDescent="0.2">
      <c r="A31" s="47" t="s">
        <v>62</v>
      </c>
      <c r="B31" s="47"/>
      <c r="C31" s="47"/>
      <c r="D31" s="85" t="s">
        <v>19</v>
      </c>
    </row>
    <row r="32" spans="1:4" ht="14.25" customHeight="1" outlineLevel="1" x14ac:dyDescent="0.2">
      <c r="A32" s="48" t="s">
        <v>20</v>
      </c>
      <c r="B32" s="49" t="s">
        <v>21</v>
      </c>
      <c r="C32" s="49" t="s">
        <v>22</v>
      </c>
      <c r="D32" s="50" t="s">
        <v>23</v>
      </c>
    </row>
    <row r="33" spans="1:4" ht="43.5" customHeight="1" outlineLevel="1" x14ac:dyDescent="0.2">
      <c r="A33" s="51" t="s">
        <v>28</v>
      </c>
      <c r="B33" s="52" t="s">
        <v>35</v>
      </c>
      <c r="C33" s="53" t="s">
        <v>34</v>
      </c>
      <c r="D33" s="54" t="s">
        <v>34</v>
      </c>
    </row>
    <row r="34" spans="1:4" ht="43.5" customHeight="1" outlineLevel="1" x14ac:dyDescent="0.2">
      <c r="A34" s="51"/>
      <c r="B34" s="52" t="s">
        <v>35</v>
      </c>
      <c r="C34" s="53" t="s">
        <v>34</v>
      </c>
      <c r="D34" s="54" t="s">
        <v>34</v>
      </c>
    </row>
    <row r="35" spans="1:4" ht="43.5" customHeight="1" outlineLevel="1" x14ac:dyDescent="0.2">
      <c r="A35" s="51"/>
      <c r="B35" s="52" t="s">
        <v>35</v>
      </c>
      <c r="C35" s="53" t="s">
        <v>34</v>
      </c>
      <c r="D35" s="54" t="s">
        <v>34</v>
      </c>
    </row>
    <row r="36" spans="1:4" ht="43.5" customHeight="1" outlineLevel="1" x14ac:dyDescent="0.2">
      <c r="A36" s="51"/>
      <c r="B36" s="52" t="s">
        <v>35</v>
      </c>
      <c r="C36" s="53" t="s">
        <v>34</v>
      </c>
      <c r="D36" s="54" t="s">
        <v>34</v>
      </c>
    </row>
    <row r="37" spans="1:4" ht="43.5" customHeight="1" outlineLevel="1" x14ac:dyDescent="0.2">
      <c r="A37" s="55"/>
      <c r="B37" s="56" t="s">
        <v>35</v>
      </c>
      <c r="C37" s="57" t="s">
        <v>34</v>
      </c>
      <c r="D37" s="58" t="s">
        <v>34</v>
      </c>
    </row>
    <row r="38" spans="1:4" ht="14.25" customHeight="1" outlineLevel="1" x14ac:dyDescent="0.2">
      <c r="A38" s="46"/>
      <c r="B38" s="46"/>
      <c r="C38" s="46"/>
      <c r="D38" s="46"/>
    </row>
    <row r="39" spans="1:4" ht="15" customHeight="1" outlineLevel="1" x14ac:dyDescent="0.2">
      <c r="A39" s="47" t="s">
        <v>36</v>
      </c>
      <c r="B39" s="47"/>
      <c r="C39" s="47"/>
      <c r="D39" s="47"/>
    </row>
    <row r="40" spans="1:4" ht="14.25" customHeight="1" outlineLevel="1" x14ac:dyDescent="0.2">
      <c r="A40" s="48" t="s">
        <v>37</v>
      </c>
      <c r="B40" s="49" t="s">
        <v>38</v>
      </c>
      <c r="C40" s="49" t="s">
        <v>39</v>
      </c>
      <c r="D40" s="50" t="s">
        <v>40</v>
      </c>
    </row>
    <row r="41" spans="1:4" ht="14.25" customHeight="1" outlineLevel="1" x14ac:dyDescent="0.2">
      <c r="A41" s="59"/>
      <c r="B41" s="53"/>
      <c r="C41" s="53"/>
      <c r="D41" s="54"/>
    </row>
    <row r="42" spans="1:4" ht="14.25" customHeight="1" outlineLevel="1" x14ac:dyDescent="0.2">
      <c r="A42" s="59"/>
      <c r="B42" s="53"/>
      <c r="C42" s="53"/>
      <c r="D42" s="54"/>
    </row>
    <row r="43" spans="1:4" ht="14.25" customHeight="1" outlineLevel="1" x14ac:dyDescent="0.2">
      <c r="A43" s="60"/>
      <c r="B43" s="61"/>
      <c r="C43" s="61"/>
      <c r="D43" s="62"/>
    </row>
    <row r="44" spans="1:4" ht="15" customHeight="1" outlineLevel="1" x14ac:dyDescent="0.2">
      <c r="A44" s="47" t="s">
        <v>41</v>
      </c>
      <c r="B44" s="47"/>
      <c r="C44" s="47"/>
      <c r="D44" s="47"/>
    </row>
    <row r="45" spans="1:4" ht="14.25" customHeight="1" outlineLevel="1" x14ac:dyDescent="0.2">
      <c r="A45" s="48" t="s">
        <v>0</v>
      </c>
      <c r="B45" s="49" t="s">
        <v>42</v>
      </c>
      <c r="C45" s="49" t="s">
        <v>43</v>
      </c>
      <c r="D45" s="50" t="s">
        <v>44</v>
      </c>
    </row>
    <row r="46" spans="1:4" ht="28.5" customHeight="1" outlineLevel="1" x14ac:dyDescent="0.2">
      <c r="A46" s="63" t="s">
        <v>45</v>
      </c>
      <c r="B46" s="64" t="s">
        <v>46</v>
      </c>
      <c r="C46" s="65" t="s">
        <v>50</v>
      </c>
      <c r="D46" s="54"/>
    </row>
    <row r="47" spans="1:4" ht="28.5" customHeight="1" outlineLevel="1" x14ac:dyDescent="0.2">
      <c r="A47" s="63" t="s">
        <v>48</v>
      </c>
      <c r="B47" s="64" t="s">
        <v>49</v>
      </c>
      <c r="C47" s="65" t="s">
        <v>50</v>
      </c>
      <c r="D47" s="54"/>
    </row>
    <row r="48" spans="1:4" ht="28.5" customHeight="1" outlineLevel="1" x14ac:dyDescent="0.2">
      <c r="A48" s="63" t="s">
        <v>51</v>
      </c>
      <c r="B48" s="64" t="s">
        <v>52</v>
      </c>
      <c r="C48" s="65" t="s">
        <v>50</v>
      </c>
      <c r="D48" s="54"/>
    </row>
    <row r="49" spans="1:4" ht="14.25" customHeight="1" outlineLevel="1" x14ac:dyDescent="0.2">
      <c r="A49" s="63" t="s">
        <v>53</v>
      </c>
      <c r="B49" s="64" t="s">
        <v>54</v>
      </c>
      <c r="C49" s="65" t="s">
        <v>50</v>
      </c>
      <c r="D49" s="54"/>
    </row>
    <row r="50" spans="1:4" ht="14.25" customHeight="1" outlineLevel="1" x14ac:dyDescent="0.2">
      <c r="A50" s="60" t="s">
        <v>55</v>
      </c>
      <c r="B50" s="66" t="s">
        <v>56</v>
      </c>
      <c r="C50" s="67" t="s">
        <v>50</v>
      </c>
      <c r="D50" s="58"/>
    </row>
    <row r="51" spans="1:4" ht="14.25" customHeight="1" outlineLevel="1" x14ac:dyDescent="0.2">
      <c r="A51" s="46"/>
      <c r="B51" s="68"/>
      <c r="C51" s="69"/>
      <c r="D51" s="69"/>
    </row>
    <row r="52" spans="1:4" ht="14.25" customHeight="1" outlineLevel="1" x14ac:dyDescent="0.2">
      <c r="A52" s="47" t="s">
        <v>57</v>
      </c>
      <c r="B52" s="70"/>
      <c r="C52" s="71"/>
      <c r="D52" s="85"/>
    </row>
    <row r="53" spans="1:4" ht="14.25" customHeight="1" outlineLevel="1" x14ac:dyDescent="0.2">
      <c r="A53" s="48" t="s">
        <v>37</v>
      </c>
      <c r="B53" s="72" t="s">
        <v>58</v>
      </c>
      <c r="C53" s="73" t="s">
        <v>59</v>
      </c>
      <c r="D53" s="50" t="s">
        <v>60</v>
      </c>
    </row>
    <row r="54" spans="1:4" ht="14.25" customHeight="1" outlineLevel="1" x14ac:dyDescent="0.2">
      <c r="A54" s="59"/>
      <c r="B54" s="53"/>
      <c r="C54" s="74"/>
      <c r="D54" s="75"/>
    </row>
    <row r="55" spans="1:4" ht="14.25" customHeight="1" outlineLevel="1" x14ac:dyDescent="0.2">
      <c r="A55" s="63"/>
      <c r="B55" s="76"/>
      <c r="C55" s="76"/>
      <c r="D55" s="77"/>
    </row>
    <row r="56" spans="1:4" ht="14.25" customHeight="1" x14ac:dyDescent="0.2">
      <c r="A56" s="60"/>
      <c r="B56" s="61"/>
      <c r="C56" s="61"/>
      <c r="D56" s="62"/>
    </row>
    <row r="57" spans="1:4" ht="18" customHeight="1" x14ac:dyDescent="0.2">
      <c r="A57" s="89" t="s">
        <v>63</v>
      </c>
      <c r="B57" s="90"/>
      <c r="C57" s="90"/>
      <c r="D57" s="91"/>
    </row>
    <row r="58" spans="1:4" ht="14.25" customHeight="1" outlineLevel="1" x14ac:dyDescent="0.2">
      <c r="A58" s="15"/>
      <c r="B58" s="15"/>
      <c r="C58" s="15"/>
      <c r="D58" s="15"/>
    </row>
    <row r="59" spans="1:4" ht="15" customHeight="1" outlineLevel="1" x14ac:dyDescent="0.2">
      <c r="A59" s="16" t="s">
        <v>62</v>
      </c>
      <c r="B59" s="16"/>
      <c r="C59" s="16"/>
      <c r="D59" s="85" t="s">
        <v>19</v>
      </c>
    </row>
    <row r="60" spans="1:4" ht="14.25" customHeight="1" outlineLevel="1" x14ac:dyDescent="0.2">
      <c r="A60" s="17" t="s">
        <v>20</v>
      </c>
      <c r="B60" s="18" t="s">
        <v>21</v>
      </c>
      <c r="C60" s="18" t="s">
        <v>22</v>
      </c>
      <c r="D60" s="19" t="s">
        <v>23</v>
      </c>
    </row>
    <row r="61" spans="1:4" ht="43.5" customHeight="1" outlineLevel="1" x14ac:dyDescent="0.2">
      <c r="A61" s="20" t="s">
        <v>28</v>
      </c>
      <c r="B61" s="23" t="s">
        <v>35</v>
      </c>
      <c r="C61" s="21" t="s">
        <v>34</v>
      </c>
      <c r="D61" s="22" t="s">
        <v>34</v>
      </c>
    </row>
    <row r="62" spans="1:4" ht="43.5" customHeight="1" outlineLevel="1" x14ac:dyDescent="0.2">
      <c r="A62" s="20"/>
      <c r="B62" s="23" t="s">
        <v>35</v>
      </c>
      <c r="C62" s="21" t="s">
        <v>34</v>
      </c>
      <c r="D62" s="22" t="s">
        <v>34</v>
      </c>
    </row>
    <row r="63" spans="1:4" ht="43.5" customHeight="1" outlineLevel="1" x14ac:dyDescent="0.2">
      <c r="A63" s="20"/>
      <c r="B63" s="23" t="s">
        <v>35</v>
      </c>
      <c r="C63" s="21" t="s">
        <v>34</v>
      </c>
      <c r="D63" s="22" t="s">
        <v>34</v>
      </c>
    </row>
    <row r="64" spans="1:4" ht="43.5" customHeight="1" outlineLevel="1" x14ac:dyDescent="0.2">
      <c r="A64" s="20"/>
      <c r="B64" s="23" t="s">
        <v>35</v>
      </c>
      <c r="C64" s="21" t="s">
        <v>34</v>
      </c>
      <c r="D64" s="22" t="s">
        <v>34</v>
      </c>
    </row>
    <row r="65" spans="1:4" ht="43.5" customHeight="1" outlineLevel="1" x14ac:dyDescent="0.2">
      <c r="A65" s="24"/>
      <c r="B65" s="25" t="s">
        <v>35</v>
      </c>
      <c r="C65" s="26" t="s">
        <v>34</v>
      </c>
      <c r="D65" s="27" t="s">
        <v>34</v>
      </c>
    </row>
    <row r="66" spans="1:4" ht="14.25" customHeight="1" outlineLevel="1" x14ac:dyDescent="0.2">
      <c r="A66" s="15"/>
      <c r="B66" s="15"/>
      <c r="C66" s="15"/>
      <c r="D66" s="15"/>
    </row>
    <row r="67" spans="1:4" ht="15" customHeight="1" outlineLevel="1" x14ac:dyDescent="0.2">
      <c r="A67" s="16" t="s">
        <v>36</v>
      </c>
      <c r="B67" s="16"/>
      <c r="C67" s="16"/>
      <c r="D67" s="16"/>
    </row>
    <row r="68" spans="1:4" ht="14.25" customHeight="1" outlineLevel="1" x14ac:dyDescent="0.2">
      <c r="A68" s="17" t="s">
        <v>37</v>
      </c>
      <c r="B68" s="18" t="s">
        <v>38</v>
      </c>
      <c r="C68" s="18" t="s">
        <v>39</v>
      </c>
      <c r="D68" s="19" t="s">
        <v>40</v>
      </c>
    </row>
    <row r="69" spans="1:4" ht="14.25" customHeight="1" outlineLevel="1" x14ac:dyDescent="0.2">
      <c r="A69" s="28"/>
      <c r="B69" s="21"/>
      <c r="C69" s="21"/>
      <c r="D69" s="22"/>
    </row>
    <row r="70" spans="1:4" ht="14.25" customHeight="1" outlineLevel="1" x14ac:dyDescent="0.2">
      <c r="A70" s="28"/>
      <c r="B70" s="21"/>
      <c r="C70" s="21"/>
      <c r="D70" s="22"/>
    </row>
    <row r="71" spans="1:4" ht="14.25" customHeight="1" outlineLevel="1" x14ac:dyDescent="0.2">
      <c r="A71" s="29"/>
      <c r="B71" s="30"/>
      <c r="C71" s="30"/>
      <c r="D71" s="31"/>
    </row>
    <row r="72" spans="1:4" ht="15" customHeight="1" outlineLevel="1" x14ac:dyDescent="0.2">
      <c r="A72" s="16" t="s">
        <v>41</v>
      </c>
      <c r="B72" s="16"/>
      <c r="C72" s="16"/>
      <c r="D72" s="16"/>
    </row>
    <row r="73" spans="1:4" ht="14.25" customHeight="1" outlineLevel="1" x14ac:dyDescent="0.2">
      <c r="A73" s="17" t="s">
        <v>0</v>
      </c>
      <c r="B73" s="18" t="s">
        <v>42</v>
      </c>
      <c r="C73" s="18" t="s">
        <v>43</v>
      </c>
      <c r="D73" s="19" t="s">
        <v>44</v>
      </c>
    </row>
    <row r="74" spans="1:4" ht="28.5" customHeight="1" outlineLevel="1" x14ac:dyDescent="0.2">
      <c r="A74" s="32" t="s">
        <v>45</v>
      </c>
      <c r="B74" s="33" t="s">
        <v>46</v>
      </c>
      <c r="C74" s="34" t="s">
        <v>50</v>
      </c>
      <c r="D74" s="22"/>
    </row>
    <row r="75" spans="1:4" ht="28.5" customHeight="1" outlineLevel="1" x14ac:dyDescent="0.2">
      <c r="A75" s="32" t="s">
        <v>48</v>
      </c>
      <c r="B75" s="33" t="s">
        <v>49</v>
      </c>
      <c r="C75" s="34" t="s">
        <v>50</v>
      </c>
      <c r="D75" s="22"/>
    </row>
    <row r="76" spans="1:4" ht="28.5" customHeight="1" outlineLevel="1" x14ac:dyDescent="0.2">
      <c r="A76" s="32" t="s">
        <v>51</v>
      </c>
      <c r="B76" s="33" t="s">
        <v>52</v>
      </c>
      <c r="C76" s="34" t="s">
        <v>50</v>
      </c>
      <c r="D76" s="22"/>
    </row>
    <row r="77" spans="1:4" ht="14.25" customHeight="1" outlineLevel="1" x14ac:dyDescent="0.2">
      <c r="A77" s="32" t="s">
        <v>53</v>
      </c>
      <c r="B77" s="33" t="s">
        <v>54</v>
      </c>
      <c r="C77" s="34" t="s">
        <v>50</v>
      </c>
      <c r="D77" s="22"/>
    </row>
    <row r="78" spans="1:4" ht="14.25" customHeight="1" outlineLevel="1" x14ac:dyDescent="0.2">
      <c r="A78" s="29" t="s">
        <v>55</v>
      </c>
      <c r="B78" s="35" t="s">
        <v>56</v>
      </c>
      <c r="C78" s="36" t="s">
        <v>50</v>
      </c>
      <c r="D78" s="27"/>
    </row>
    <row r="79" spans="1:4" ht="14.25" customHeight="1" outlineLevel="1" x14ac:dyDescent="0.2">
      <c r="A79" s="15"/>
      <c r="B79" s="37"/>
      <c r="C79" s="38"/>
      <c r="D79" s="38"/>
    </row>
    <row r="80" spans="1:4" ht="14.25" customHeight="1" outlineLevel="1" x14ac:dyDescent="0.2">
      <c r="A80" s="16" t="s">
        <v>57</v>
      </c>
      <c r="B80" s="39"/>
      <c r="C80" s="40"/>
      <c r="D80" s="40"/>
    </row>
    <row r="81" spans="1:4" ht="14.25" customHeight="1" outlineLevel="1" x14ac:dyDescent="0.2">
      <c r="A81" s="17" t="s">
        <v>37</v>
      </c>
      <c r="B81" s="41" t="s">
        <v>58</v>
      </c>
      <c r="C81" s="42" t="s">
        <v>59</v>
      </c>
      <c r="D81" s="19" t="s">
        <v>60</v>
      </c>
    </row>
    <row r="82" spans="1:4" ht="14.25" customHeight="1" outlineLevel="1" x14ac:dyDescent="0.2">
      <c r="A82" s="28"/>
      <c r="B82" s="21"/>
      <c r="C82" s="43"/>
      <c r="D82" s="44"/>
    </row>
    <row r="83" spans="1:4" ht="14.25" customHeight="1" outlineLevel="1" x14ac:dyDescent="0.2">
      <c r="A83" s="32"/>
      <c r="B83" s="78"/>
      <c r="C83" s="78"/>
      <c r="D83" s="45"/>
    </row>
    <row r="84" spans="1:4" ht="14.25" customHeight="1" x14ac:dyDescent="0.2">
      <c r="A84" s="29"/>
      <c r="B84" s="30"/>
      <c r="C84" s="30"/>
      <c r="D84" s="31"/>
    </row>
    <row r="85" spans="1:4" ht="18" customHeight="1" x14ac:dyDescent="0.2">
      <c r="A85" s="92" t="s">
        <v>64</v>
      </c>
      <c r="B85" s="90"/>
      <c r="C85" s="90"/>
      <c r="D85" s="91"/>
    </row>
    <row r="86" spans="1:4" ht="14.25" customHeight="1" outlineLevel="1" x14ac:dyDescent="0.2">
      <c r="A86" s="46"/>
      <c r="B86" s="46"/>
      <c r="C86" s="46"/>
      <c r="D86" s="46"/>
    </row>
    <row r="87" spans="1:4" ht="15" customHeight="1" outlineLevel="1" x14ac:dyDescent="0.2">
      <c r="A87" s="47" t="s">
        <v>62</v>
      </c>
      <c r="B87" s="47"/>
      <c r="C87" s="47"/>
      <c r="D87" s="85" t="s">
        <v>19</v>
      </c>
    </row>
    <row r="88" spans="1:4" ht="14.25" customHeight="1" outlineLevel="1" x14ac:dyDescent="0.2">
      <c r="A88" s="48" t="s">
        <v>20</v>
      </c>
      <c r="B88" s="49" t="s">
        <v>21</v>
      </c>
      <c r="C88" s="49" t="s">
        <v>22</v>
      </c>
      <c r="D88" s="50" t="s">
        <v>23</v>
      </c>
    </row>
    <row r="89" spans="1:4" ht="43.5" customHeight="1" outlineLevel="1" x14ac:dyDescent="0.2">
      <c r="A89" s="51" t="s">
        <v>28</v>
      </c>
      <c r="B89" s="52" t="s">
        <v>35</v>
      </c>
      <c r="C89" s="53" t="s">
        <v>34</v>
      </c>
      <c r="D89" s="54" t="s">
        <v>34</v>
      </c>
    </row>
    <row r="90" spans="1:4" ht="43.5" customHeight="1" outlineLevel="1" x14ac:dyDescent="0.2">
      <c r="A90" s="51"/>
      <c r="B90" s="52" t="s">
        <v>35</v>
      </c>
      <c r="C90" s="53" t="s">
        <v>34</v>
      </c>
      <c r="D90" s="54" t="s">
        <v>34</v>
      </c>
    </row>
    <row r="91" spans="1:4" ht="43.5" customHeight="1" outlineLevel="1" x14ac:dyDescent="0.2">
      <c r="A91" s="51"/>
      <c r="B91" s="52" t="s">
        <v>35</v>
      </c>
      <c r="C91" s="53" t="s">
        <v>34</v>
      </c>
      <c r="D91" s="54" t="s">
        <v>34</v>
      </c>
    </row>
    <row r="92" spans="1:4" ht="43.5" customHeight="1" outlineLevel="1" x14ac:dyDescent="0.2">
      <c r="A92" s="51"/>
      <c r="B92" s="52" t="s">
        <v>35</v>
      </c>
      <c r="C92" s="53" t="s">
        <v>34</v>
      </c>
      <c r="D92" s="54" t="s">
        <v>34</v>
      </c>
    </row>
    <row r="93" spans="1:4" ht="43.5" customHeight="1" outlineLevel="1" x14ac:dyDescent="0.2">
      <c r="A93" s="55"/>
      <c r="B93" s="56" t="s">
        <v>35</v>
      </c>
      <c r="C93" s="57" t="s">
        <v>34</v>
      </c>
      <c r="D93" s="58" t="s">
        <v>34</v>
      </c>
    </row>
    <row r="94" spans="1:4" ht="14.25" customHeight="1" outlineLevel="1" x14ac:dyDescent="0.2">
      <c r="A94" s="46"/>
      <c r="B94" s="46"/>
      <c r="C94" s="46"/>
      <c r="D94" s="46"/>
    </row>
    <row r="95" spans="1:4" ht="15" customHeight="1" outlineLevel="1" x14ac:dyDescent="0.2">
      <c r="A95" s="47" t="s">
        <v>36</v>
      </c>
      <c r="B95" s="47"/>
      <c r="C95" s="47"/>
      <c r="D95" s="47"/>
    </row>
    <row r="96" spans="1:4" ht="14.25" customHeight="1" outlineLevel="1" x14ac:dyDescent="0.2">
      <c r="A96" s="48" t="s">
        <v>37</v>
      </c>
      <c r="B96" s="49" t="s">
        <v>38</v>
      </c>
      <c r="C96" s="49" t="s">
        <v>39</v>
      </c>
      <c r="D96" s="50" t="s">
        <v>40</v>
      </c>
    </row>
    <row r="97" spans="1:4" ht="14.25" customHeight="1" outlineLevel="1" x14ac:dyDescent="0.2">
      <c r="A97" s="59"/>
      <c r="B97" s="53"/>
      <c r="C97" s="53"/>
      <c r="D97" s="54"/>
    </row>
    <row r="98" spans="1:4" ht="14.25" customHeight="1" outlineLevel="1" x14ac:dyDescent="0.2">
      <c r="A98" s="59"/>
      <c r="B98" s="53"/>
      <c r="C98" s="53"/>
      <c r="D98" s="54"/>
    </row>
    <row r="99" spans="1:4" ht="14.25" customHeight="1" outlineLevel="1" x14ac:dyDescent="0.2">
      <c r="A99" s="60"/>
      <c r="B99" s="61"/>
      <c r="C99" s="61"/>
      <c r="D99" s="62"/>
    </row>
    <row r="100" spans="1:4" ht="15" customHeight="1" outlineLevel="1" x14ac:dyDescent="0.2">
      <c r="A100" s="47" t="s">
        <v>41</v>
      </c>
      <c r="B100" s="47"/>
      <c r="C100" s="47"/>
      <c r="D100" s="47"/>
    </row>
    <row r="101" spans="1:4" ht="14.25" customHeight="1" outlineLevel="1" x14ac:dyDescent="0.2">
      <c r="A101" s="48" t="s">
        <v>0</v>
      </c>
      <c r="B101" s="49" t="s">
        <v>42</v>
      </c>
      <c r="C101" s="49" t="s">
        <v>43</v>
      </c>
      <c r="D101" s="50" t="s">
        <v>44</v>
      </c>
    </row>
    <row r="102" spans="1:4" ht="28.5" customHeight="1" outlineLevel="1" x14ac:dyDescent="0.2">
      <c r="A102" s="63" t="s">
        <v>45</v>
      </c>
      <c r="B102" s="64" t="s">
        <v>46</v>
      </c>
      <c r="C102" s="65" t="s">
        <v>50</v>
      </c>
      <c r="D102" s="54"/>
    </row>
    <row r="103" spans="1:4" ht="28.5" customHeight="1" outlineLevel="1" x14ac:dyDescent="0.2">
      <c r="A103" s="63" t="s">
        <v>48</v>
      </c>
      <c r="B103" s="64" t="s">
        <v>49</v>
      </c>
      <c r="C103" s="65" t="s">
        <v>50</v>
      </c>
      <c r="D103" s="54"/>
    </row>
    <row r="104" spans="1:4" ht="28.5" customHeight="1" outlineLevel="1" x14ac:dyDescent="0.2">
      <c r="A104" s="63" t="s">
        <v>51</v>
      </c>
      <c r="B104" s="64" t="s">
        <v>52</v>
      </c>
      <c r="C104" s="65" t="s">
        <v>50</v>
      </c>
      <c r="D104" s="54"/>
    </row>
    <row r="105" spans="1:4" ht="14.25" customHeight="1" outlineLevel="1" x14ac:dyDescent="0.2">
      <c r="A105" s="63" t="s">
        <v>53</v>
      </c>
      <c r="B105" s="64" t="s">
        <v>54</v>
      </c>
      <c r="C105" s="65" t="s">
        <v>50</v>
      </c>
      <c r="D105" s="54"/>
    </row>
    <row r="106" spans="1:4" ht="14.25" customHeight="1" outlineLevel="1" x14ac:dyDescent="0.2">
      <c r="A106" s="60" t="s">
        <v>55</v>
      </c>
      <c r="B106" s="66" t="s">
        <v>56</v>
      </c>
      <c r="C106" s="67" t="s">
        <v>50</v>
      </c>
      <c r="D106" s="58"/>
    </row>
    <row r="107" spans="1:4" ht="14.25" customHeight="1" outlineLevel="1" x14ac:dyDescent="0.2">
      <c r="A107" s="46"/>
      <c r="B107" s="68"/>
      <c r="C107" s="69"/>
      <c r="D107" s="69"/>
    </row>
    <row r="108" spans="1:4" ht="14.25" customHeight="1" outlineLevel="1" x14ac:dyDescent="0.2">
      <c r="A108" s="47" t="s">
        <v>57</v>
      </c>
      <c r="B108" s="70"/>
      <c r="C108" s="71"/>
      <c r="D108" s="71"/>
    </row>
    <row r="109" spans="1:4" ht="14.25" customHeight="1" outlineLevel="1" x14ac:dyDescent="0.2">
      <c r="A109" s="48" t="s">
        <v>37</v>
      </c>
      <c r="B109" s="72" t="s">
        <v>58</v>
      </c>
      <c r="C109" s="73" t="s">
        <v>59</v>
      </c>
      <c r="D109" s="50" t="s">
        <v>60</v>
      </c>
    </row>
    <row r="110" spans="1:4" ht="14.25" customHeight="1" outlineLevel="1" x14ac:dyDescent="0.2">
      <c r="A110" s="59"/>
      <c r="B110" s="53"/>
      <c r="C110" s="74"/>
      <c r="D110" s="75"/>
    </row>
    <row r="111" spans="1:4" ht="14.25" customHeight="1" outlineLevel="1" x14ac:dyDescent="0.2">
      <c r="A111" s="63"/>
      <c r="B111" s="76"/>
      <c r="C111" s="76"/>
      <c r="D111" s="77"/>
    </row>
    <row r="112" spans="1:4" ht="14.25" customHeight="1" x14ac:dyDescent="0.2">
      <c r="A112" s="60"/>
      <c r="B112" s="61"/>
      <c r="C112" s="61"/>
      <c r="D112" s="62"/>
    </row>
    <row r="113" spans="1:4" ht="18" customHeight="1" x14ac:dyDescent="0.2">
      <c r="A113" s="89" t="s">
        <v>65</v>
      </c>
      <c r="B113" s="90"/>
      <c r="C113" s="90"/>
      <c r="D113" s="91"/>
    </row>
    <row r="114" spans="1:4" ht="14.25" customHeight="1" outlineLevel="1" x14ac:dyDescent="0.2">
      <c r="A114" s="15"/>
      <c r="B114" s="15"/>
      <c r="C114" s="15"/>
      <c r="D114" s="15"/>
    </row>
    <row r="115" spans="1:4" ht="15" customHeight="1" outlineLevel="1" x14ac:dyDescent="0.2">
      <c r="A115" s="16" t="s">
        <v>62</v>
      </c>
      <c r="B115" s="16"/>
      <c r="C115" s="16"/>
      <c r="D115" s="85" t="s">
        <v>19</v>
      </c>
    </row>
    <row r="116" spans="1:4" ht="14.25" customHeight="1" outlineLevel="1" x14ac:dyDescent="0.2">
      <c r="A116" s="17" t="s">
        <v>20</v>
      </c>
      <c r="B116" s="18" t="s">
        <v>21</v>
      </c>
      <c r="C116" s="18" t="s">
        <v>22</v>
      </c>
      <c r="D116" s="19" t="s">
        <v>23</v>
      </c>
    </row>
    <row r="117" spans="1:4" ht="43.5" customHeight="1" outlineLevel="1" x14ac:dyDescent="0.2">
      <c r="A117" s="20" t="s">
        <v>28</v>
      </c>
      <c r="B117" s="23" t="s">
        <v>35</v>
      </c>
      <c r="C117" s="21" t="s">
        <v>34</v>
      </c>
      <c r="D117" s="22" t="s">
        <v>34</v>
      </c>
    </row>
    <row r="118" spans="1:4" ht="43.5" customHeight="1" outlineLevel="1" x14ac:dyDescent="0.2">
      <c r="A118" s="20"/>
      <c r="B118" s="23" t="s">
        <v>35</v>
      </c>
      <c r="C118" s="21" t="s">
        <v>34</v>
      </c>
      <c r="D118" s="22" t="s">
        <v>34</v>
      </c>
    </row>
    <row r="119" spans="1:4" ht="43.5" customHeight="1" outlineLevel="1" x14ac:dyDescent="0.2">
      <c r="A119" s="20"/>
      <c r="B119" s="23" t="s">
        <v>35</v>
      </c>
      <c r="C119" s="21" t="s">
        <v>34</v>
      </c>
      <c r="D119" s="22" t="s">
        <v>34</v>
      </c>
    </row>
    <row r="120" spans="1:4" ht="43.5" customHeight="1" outlineLevel="1" x14ac:dyDescent="0.2">
      <c r="A120" s="20"/>
      <c r="B120" s="23" t="s">
        <v>35</v>
      </c>
      <c r="C120" s="21" t="s">
        <v>34</v>
      </c>
      <c r="D120" s="22" t="s">
        <v>34</v>
      </c>
    </row>
    <row r="121" spans="1:4" ht="43.5" customHeight="1" outlineLevel="1" x14ac:dyDescent="0.2">
      <c r="A121" s="24"/>
      <c r="B121" s="25" t="s">
        <v>35</v>
      </c>
      <c r="C121" s="26" t="s">
        <v>34</v>
      </c>
      <c r="D121" s="27" t="s">
        <v>34</v>
      </c>
    </row>
    <row r="122" spans="1:4" ht="14.25" customHeight="1" outlineLevel="1" x14ac:dyDescent="0.2">
      <c r="A122" s="15"/>
      <c r="B122" s="15"/>
      <c r="C122" s="15"/>
      <c r="D122" s="15"/>
    </row>
    <row r="123" spans="1:4" ht="15" customHeight="1" outlineLevel="1" x14ac:dyDescent="0.2">
      <c r="A123" s="16" t="s">
        <v>36</v>
      </c>
      <c r="B123" s="16"/>
      <c r="C123" s="16"/>
      <c r="D123" s="16"/>
    </row>
    <row r="124" spans="1:4" ht="14.25" customHeight="1" outlineLevel="1" x14ac:dyDescent="0.2">
      <c r="A124" s="17" t="s">
        <v>37</v>
      </c>
      <c r="B124" s="18" t="s">
        <v>38</v>
      </c>
      <c r="C124" s="18" t="s">
        <v>39</v>
      </c>
      <c r="D124" s="19" t="s">
        <v>40</v>
      </c>
    </row>
    <row r="125" spans="1:4" ht="14.25" customHeight="1" outlineLevel="1" x14ac:dyDescent="0.2">
      <c r="A125" s="28"/>
      <c r="B125" s="21"/>
      <c r="C125" s="21"/>
      <c r="D125" s="22"/>
    </row>
    <row r="126" spans="1:4" ht="14.25" customHeight="1" outlineLevel="1" x14ac:dyDescent="0.2">
      <c r="A126" s="28"/>
      <c r="B126" s="21"/>
      <c r="C126" s="21"/>
      <c r="D126" s="22"/>
    </row>
    <row r="127" spans="1:4" ht="14.25" customHeight="1" outlineLevel="1" x14ac:dyDescent="0.2">
      <c r="A127" s="29"/>
      <c r="B127" s="30"/>
      <c r="C127" s="30"/>
      <c r="D127" s="31"/>
    </row>
    <row r="128" spans="1:4" ht="15" customHeight="1" outlineLevel="1" x14ac:dyDescent="0.2">
      <c r="A128" s="16" t="s">
        <v>41</v>
      </c>
      <c r="B128" s="16"/>
      <c r="C128" s="16"/>
      <c r="D128" s="16"/>
    </row>
    <row r="129" spans="1:4" ht="14.25" customHeight="1" outlineLevel="1" x14ac:dyDescent="0.2">
      <c r="A129" s="17" t="s">
        <v>0</v>
      </c>
      <c r="B129" s="18" t="s">
        <v>42</v>
      </c>
      <c r="C129" s="18" t="s">
        <v>43</v>
      </c>
      <c r="D129" s="19" t="s">
        <v>44</v>
      </c>
    </row>
    <row r="130" spans="1:4" ht="28.5" customHeight="1" outlineLevel="1" x14ac:dyDescent="0.2">
      <c r="A130" s="32" t="s">
        <v>45</v>
      </c>
      <c r="B130" s="33" t="s">
        <v>46</v>
      </c>
      <c r="C130" s="34" t="s">
        <v>50</v>
      </c>
      <c r="D130" s="22"/>
    </row>
    <row r="131" spans="1:4" ht="28.5" customHeight="1" outlineLevel="1" x14ac:dyDescent="0.2">
      <c r="A131" s="32" t="s">
        <v>48</v>
      </c>
      <c r="B131" s="33" t="s">
        <v>49</v>
      </c>
      <c r="C131" s="34" t="s">
        <v>50</v>
      </c>
      <c r="D131" s="22"/>
    </row>
    <row r="132" spans="1:4" ht="28.5" customHeight="1" outlineLevel="1" x14ac:dyDescent="0.2">
      <c r="A132" s="32" t="s">
        <v>51</v>
      </c>
      <c r="B132" s="33" t="s">
        <v>52</v>
      </c>
      <c r="C132" s="34" t="s">
        <v>50</v>
      </c>
      <c r="D132" s="22"/>
    </row>
    <row r="133" spans="1:4" ht="14.25" customHeight="1" outlineLevel="1" x14ac:dyDescent="0.2">
      <c r="A133" s="32" t="s">
        <v>53</v>
      </c>
      <c r="B133" s="33" t="s">
        <v>54</v>
      </c>
      <c r="C133" s="34" t="s">
        <v>50</v>
      </c>
      <c r="D133" s="22"/>
    </row>
    <row r="134" spans="1:4" ht="14.25" customHeight="1" outlineLevel="1" x14ac:dyDescent="0.2">
      <c r="A134" s="29" t="s">
        <v>55</v>
      </c>
      <c r="B134" s="35" t="s">
        <v>56</v>
      </c>
      <c r="C134" s="36" t="s">
        <v>50</v>
      </c>
      <c r="D134" s="27"/>
    </row>
    <row r="135" spans="1:4" ht="14.25" customHeight="1" outlineLevel="1" x14ac:dyDescent="0.2">
      <c r="A135" s="15"/>
      <c r="B135" s="37"/>
      <c r="C135" s="38"/>
      <c r="D135" s="38"/>
    </row>
    <row r="136" spans="1:4" ht="14.25" customHeight="1" outlineLevel="1" x14ac:dyDescent="0.2">
      <c r="A136" s="16" t="s">
        <v>57</v>
      </c>
      <c r="B136" s="39"/>
      <c r="C136" s="40"/>
      <c r="D136" s="40"/>
    </row>
    <row r="137" spans="1:4" ht="14.25" customHeight="1" outlineLevel="1" x14ac:dyDescent="0.2">
      <c r="A137" s="17" t="s">
        <v>37</v>
      </c>
      <c r="B137" s="41" t="s">
        <v>58</v>
      </c>
      <c r="C137" s="42" t="s">
        <v>59</v>
      </c>
      <c r="D137" s="19" t="s">
        <v>60</v>
      </c>
    </row>
    <row r="138" spans="1:4" ht="14.25" customHeight="1" outlineLevel="1" x14ac:dyDescent="0.2">
      <c r="A138" s="28"/>
      <c r="B138" s="21"/>
      <c r="C138" s="43"/>
      <c r="D138" s="44"/>
    </row>
    <row r="139" spans="1:4" ht="14.25" customHeight="1" outlineLevel="1" x14ac:dyDescent="0.2">
      <c r="A139" s="32"/>
      <c r="B139" s="78"/>
      <c r="C139" s="78"/>
      <c r="D139" s="45"/>
    </row>
    <row r="140" spans="1:4" ht="14.25" customHeight="1" x14ac:dyDescent="0.2">
      <c r="A140" s="29"/>
      <c r="B140" s="30"/>
      <c r="C140" s="30"/>
      <c r="D140" s="31"/>
    </row>
    <row r="141" spans="1:4" ht="18" customHeight="1" x14ac:dyDescent="0.2">
      <c r="A141" s="92" t="s">
        <v>66</v>
      </c>
      <c r="B141" s="90"/>
      <c r="C141" s="90"/>
      <c r="D141" s="91"/>
    </row>
    <row r="142" spans="1:4" ht="14.25" customHeight="1" outlineLevel="1" x14ac:dyDescent="0.2">
      <c r="A142" s="46"/>
      <c r="B142" s="46"/>
      <c r="C142" s="46"/>
      <c r="D142" s="46"/>
    </row>
    <row r="143" spans="1:4" ht="15" customHeight="1" outlineLevel="1" x14ac:dyDescent="0.2">
      <c r="A143" s="47" t="s">
        <v>62</v>
      </c>
      <c r="B143" s="47"/>
      <c r="C143" s="47"/>
      <c r="D143" s="85" t="s">
        <v>19</v>
      </c>
    </row>
    <row r="144" spans="1:4" ht="14.25" customHeight="1" outlineLevel="1" x14ac:dyDescent="0.2">
      <c r="A144" s="48" t="s">
        <v>20</v>
      </c>
      <c r="B144" s="49" t="s">
        <v>21</v>
      </c>
      <c r="C144" s="49" t="s">
        <v>22</v>
      </c>
      <c r="D144" s="50" t="s">
        <v>23</v>
      </c>
    </row>
    <row r="145" spans="1:4" ht="43.5" customHeight="1" outlineLevel="1" x14ac:dyDescent="0.2">
      <c r="A145" s="51" t="s">
        <v>28</v>
      </c>
      <c r="B145" s="52" t="s">
        <v>35</v>
      </c>
      <c r="C145" s="53" t="s">
        <v>34</v>
      </c>
      <c r="D145" s="54" t="s">
        <v>34</v>
      </c>
    </row>
    <row r="146" spans="1:4" ht="43.5" customHeight="1" outlineLevel="1" x14ac:dyDescent="0.2">
      <c r="A146" s="51"/>
      <c r="B146" s="52" t="s">
        <v>35</v>
      </c>
      <c r="C146" s="53" t="s">
        <v>34</v>
      </c>
      <c r="D146" s="54" t="s">
        <v>34</v>
      </c>
    </row>
    <row r="147" spans="1:4" ht="43.5" customHeight="1" outlineLevel="1" x14ac:dyDescent="0.2">
      <c r="A147" s="51"/>
      <c r="B147" s="52" t="s">
        <v>35</v>
      </c>
      <c r="C147" s="53" t="s">
        <v>34</v>
      </c>
      <c r="D147" s="54" t="s">
        <v>34</v>
      </c>
    </row>
    <row r="148" spans="1:4" ht="43.5" customHeight="1" outlineLevel="1" x14ac:dyDescent="0.2">
      <c r="A148" s="51"/>
      <c r="B148" s="52" t="s">
        <v>35</v>
      </c>
      <c r="C148" s="53" t="s">
        <v>34</v>
      </c>
      <c r="D148" s="54" t="s">
        <v>34</v>
      </c>
    </row>
    <row r="149" spans="1:4" ht="43.5" customHeight="1" outlineLevel="1" x14ac:dyDescent="0.2">
      <c r="A149" s="55"/>
      <c r="B149" s="56" t="s">
        <v>35</v>
      </c>
      <c r="C149" s="57" t="s">
        <v>34</v>
      </c>
      <c r="D149" s="58" t="s">
        <v>34</v>
      </c>
    </row>
    <row r="150" spans="1:4" ht="14.25" customHeight="1" outlineLevel="1" x14ac:dyDescent="0.2">
      <c r="A150" s="46"/>
      <c r="B150" s="46"/>
      <c r="C150" s="46"/>
      <c r="D150" s="46"/>
    </row>
    <row r="151" spans="1:4" ht="15" customHeight="1" outlineLevel="1" x14ac:dyDescent="0.2">
      <c r="A151" s="47" t="s">
        <v>36</v>
      </c>
      <c r="B151" s="47"/>
      <c r="C151" s="47"/>
      <c r="D151" s="47"/>
    </row>
    <row r="152" spans="1:4" ht="14.25" customHeight="1" outlineLevel="1" x14ac:dyDescent="0.2">
      <c r="A152" s="48" t="s">
        <v>37</v>
      </c>
      <c r="B152" s="49" t="s">
        <v>38</v>
      </c>
      <c r="C152" s="49" t="s">
        <v>39</v>
      </c>
      <c r="D152" s="50" t="s">
        <v>40</v>
      </c>
    </row>
    <row r="153" spans="1:4" ht="14.25" customHeight="1" outlineLevel="1" x14ac:dyDescent="0.2">
      <c r="A153" s="59"/>
      <c r="B153" s="53"/>
      <c r="C153" s="53"/>
      <c r="D153" s="54"/>
    </row>
    <row r="154" spans="1:4" ht="14.25" customHeight="1" outlineLevel="1" x14ac:dyDescent="0.2">
      <c r="A154" s="59"/>
      <c r="B154" s="53"/>
      <c r="C154" s="53"/>
      <c r="D154" s="54"/>
    </row>
    <row r="155" spans="1:4" ht="14.25" customHeight="1" outlineLevel="1" x14ac:dyDescent="0.2">
      <c r="A155" s="60"/>
      <c r="B155" s="61"/>
      <c r="C155" s="61"/>
      <c r="D155" s="62"/>
    </row>
    <row r="156" spans="1:4" ht="15" customHeight="1" outlineLevel="1" x14ac:dyDescent="0.2">
      <c r="A156" s="47" t="s">
        <v>41</v>
      </c>
      <c r="B156" s="47"/>
      <c r="C156" s="47"/>
      <c r="D156" s="47"/>
    </row>
    <row r="157" spans="1:4" ht="14.25" customHeight="1" outlineLevel="1" x14ac:dyDescent="0.2">
      <c r="A157" s="48" t="s">
        <v>0</v>
      </c>
      <c r="B157" s="49" t="s">
        <v>42</v>
      </c>
      <c r="C157" s="49" t="s">
        <v>43</v>
      </c>
      <c r="D157" s="50" t="s">
        <v>44</v>
      </c>
    </row>
    <row r="158" spans="1:4" ht="28.5" customHeight="1" outlineLevel="1" x14ac:dyDescent="0.2">
      <c r="A158" s="63" t="s">
        <v>45</v>
      </c>
      <c r="B158" s="64" t="s">
        <v>46</v>
      </c>
      <c r="C158" s="65" t="s">
        <v>50</v>
      </c>
      <c r="D158" s="54"/>
    </row>
    <row r="159" spans="1:4" ht="28.5" customHeight="1" outlineLevel="1" x14ac:dyDescent="0.2">
      <c r="A159" s="63" t="s">
        <v>48</v>
      </c>
      <c r="B159" s="64" t="s">
        <v>49</v>
      </c>
      <c r="C159" s="65" t="s">
        <v>50</v>
      </c>
      <c r="D159" s="54"/>
    </row>
    <row r="160" spans="1:4" ht="28.5" customHeight="1" outlineLevel="1" x14ac:dyDescent="0.2">
      <c r="A160" s="63" t="s">
        <v>51</v>
      </c>
      <c r="B160" s="64" t="s">
        <v>52</v>
      </c>
      <c r="C160" s="65" t="s">
        <v>50</v>
      </c>
      <c r="D160" s="54"/>
    </row>
    <row r="161" spans="1:4" ht="14.25" customHeight="1" outlineLevel="1" x14ac:dyDescent="0.2">
      <c r="A161" s="63" t="s">
        <v>53</v>
      </c>
      <c r="B161" s="64" t="s">
        <v>54</v>
      </c>
      <c r="C161" s="65" t="s">
        <v>50</v>
      </c>
      <c r="D161" s="54"/>
    </row>
    <row r="162" spans="1:4" ht="14.25" customHeight="1" outlineLevel="1" x14ac:dyDescent="0.2">
      <c r="A162" s="60" t="s">
        <v>55</v>
      </c>
      <c r="B162" s="66" t="s">
        <v>56</v>
      </c>
      <c r="C162" s="67" t="s">
        <v>50</v>
      </c>
      <c r="D162" s="58"/>
    </row>
    <row r="163" spans="1:4" ht="14.25" customHeight="1" outlineLevel="1" x14ac:dyDescent="0.2">
      <c r="A163" s="46"/>
      <c r="B163" s="68"/>
      <c r="C163" s="69"/>
      <c r="D163" s="69"/>
    </row>
    <row r="164" spans="1:4" ht="14.25" customHeight="1" outlineLevel="1" x14ac:dyDescent="0.2">
      <c r="A164" s="47" t="s">
        <v>57</v>
      </c>
      <c r="B164" s="70"/>
      <c r="C164" s="71"/>
      <c r="D164" s="71"/>
    </row>
    <row r="165" spans="1:4" ht="14.25" customHeight="1" outlineLevel="1" x14ac:dyDescent="0.2">
      <c r="A165" s="48" t="s">
        <v>37</v>
      </c>
      <c r="B165" s="72" t="s">
        <v>58</v>
      </c>
      <c r="C165" s="73" t="s">
        <v>59</v>
      </c>
      <c r="D165" s="50" t="s">
        <v>60</v>
      </c>
    </row>
    <row r="166" spans="1:4" ht="14.25" customHeight="1" outlineLevel="1" x14ac:dyDescent="0.2">
      <c r="A166" s="59"/>
      <c r="B166" s="53"/>
      <c r="C166" s="74"/>
      <c r="D166" s="75"/>
    </row>
    <row r="167" spans="1:4" ht="14.25" customHeight="1" outlineLevel="1" x14ac:dyDescent="0.2">
      <c r="A167" s="63"/>
      <c r="B167" s="76"/>
      <c r="C167" s="76"/>
      <c r="D167" s="77"/>
    </row>
    <row r="168" spans="1:4" ht="14.25" customHeight="1" x14ac:dyDescent="0.2">
      <c r="A168" s="60"/>
      <c r="B168" s="61"/>
      <c r="C168" s="61"/>
      <c r="D168" s="62"/>
    </row>
    <row r="169" spans="1:4" ht="18" customHeight="1" x14ac:dyDescent="0.2">
      <c r="A169" s="89" t="s">
        <v>67</v>
      </c>
      <c r="B169" s="90"/>
      <c r="C169" s="90"/>
      <c r="D169" s="91"/>
    </row>
    <row r="170" spans="1:4" ht="14.25" customHeight="1" outlineLevel="1" x14ac:dyDescent="0.2">
      <c r="A170" s="15"/>
      <c r="B170" s="15"/>
      <c r="C170" s="15"/>
      <c r="D170" s="15"/>
    </row>
    <row r="171" spans="1:4" ht="15" customHeight="1" outlineLevel="1" x14ac:dyDescent="0.2">
      <c r="A171" s="16" t="s">
        <v>62</v>
      </c>
      <c r="B171" s="16"/>
      <c r="C171" s="16"/>
      <c r="D171" s="85" t="s">
        <v>19</v>
      </c>
    </row>
    <row r="172" spans="1:4" ht="14.25" customHeight="1" outlineLevel="1" x14ac:dyDescent="0.2">
      <c r="A172" s="17" t="s">
        <v>20</v>
      </c>
      <c r="B172" s="18" t="s">
        <v>21</v>
      </c>
      <c r="C172" s="18" t="s">
        <v>22</v>
      </c>
      <c r="D172" s="19" t="s">
        <v>23</v>
      </c>
    </row>
    <row r="173" spans="1:4" ht="43.5" customHeight="1" outlineLevel="1" x14ac:dyDescent="0.2">
      <c r="A173" s="20" t="s">
        <v>28</v>
      </c>
      <c r="B173" s="23" t="s">
        <v>35</v>
      </c>
      <c r="C173" s="21" t="s">
        <v>34</v>
      </c>
      <c r="D173" s="22" t="s">
        <v>34</v>
      </c>
    </row>
    <row r="174" spans="1:4" ht="43.5" customHeight="1" outlineLevel="1" x14ac:dyDescent="0.2">
      <c r="A174" s="20"/>
      <c r="B174" s="23" t="s">
        <v>35</v>
      </c>
      <c r="C174" s="21" t="s">
        <v>34</v>
      </c>
      <c r="D174" s="22" t="s">
        <v>34</v>
      </c>
    </row>
    <row r="175" spans="1:4" ht="43.5" customHeight="1" outlineLevel="1" x14ac:dyDescent="0.2">
      <c r="A175" s="20"/>
      <c r="B175" s="23" t="s">
        <v>35</v>
      </c>
      <c r="C175" s="21" t="s">
        <v>34</v>
      </c>
      <c r="D175" s="22" t="s">
        <v>34</v>
      </c>
    </row>
    <row r="176" spans="1:4" ht="43.5" customHeight="1" outlineLevel="1" x14ac:dyDescent="0.2">
      <c r="A176" s="20"/>
      <c r="B176" s="23" t="s">
        <v>35</v>
      </c>
      <c r="C176" s="21" t="s">
        <v>34</v>
      </c>
      <c r="D176" s="22" t="s">
        <v>34</v>
      </c>
    </row>
    <row r="177" spans="1:4" ht="43.5" customHeight="1" outlineLevel="1" x14ac:dyDescent="0.2">
      <c r="A177" s="24"/>
      <c r="B177" s="25" t="s">
        <v>35</v>
      </c>
      <c r="C177" s="26" t="s">
        <v>34</v>
      </c>
      <c r="D177" s="27" t="s">
        <v>34</v>
      </c>
    </row>
    <row r="178" spans="1:4" ht="14.25" customHeight="1" outlineLevel="1" x14ac:dyDescent="0.2">
      <c r="A178" s="15"/>
      <c r="B178" s="15"/>
      <c r="C178" s="15"/>
      <c r="D178" s="15"/>
    </row>
    <row r="179" spans="1:4" ht="15" customHeight="1" outlineLevel="1" x14ac:dyDescent="0.2">
      <c r="A179" s="16" t="s">
        <v>36</v>
      </c>
      <c r="B179" s="16"/>
      <c r="C179" s="16"/>
      <c r="D179" s="16"/>
    </row>
    <row r="180" spans="1:4" ht="14.25" customHeight="1" outlineLevel="1" x14ac:dyDescent="0.2">
      <c r="A180" s="17" t="s">
        <v>37</v>
      </c>
      <c r="B180" s="18" t="s">
        <v>38</v>
      </c>
      <c r="C180" s="18" t="s">
        <v>39</v>
      </c>
      <c r="D180" s="19" t="s">
        <v>40</v>
      </c>
    </row>
    <row r="181" spans="1:4" ht="14.25" customHeight="1" outlineLevel="1" x14ac:dyDescent="0.2">
      <c r="A181" s="28"/>
      <c r="B181" s="21"/>
      <c r="C181" s="21"/>
      <c r="D181" s="22"/>
    </row>
    <row r="182" spans="1:4" ht="14.25" customHeight="1" outlineLevel="1" x14ac:dyDescent="0.2">
      <c r="A182" s="28"/>
      <c r="B182" s="21"/>
      <c r="C182" s="21"/>
      <c r="D182" s="22"/>
    </row>
    <row r="183" spans="1:4" ht="14.25" customHeight="1" outlineLevel="1" x14ac:dyDescent="0.2">
      <c r="A183" s="29"/>
      <c r="B183" s="30"/>
      <c r="C183" s="30"/>
      <c r="D183" s="31"/>
    </row>
    <row r="184" spans="1:4" ht="15" customHeight="1" outlineLevel="1" x14ac:dyDescent="0.2">
      <c r="A184" s="16" t="s">
        <v>41</v>
      </c>
      <c r="B184" s="16"/>
      <c r="C184" s="16"/>
      <c r="D184" s="16"/>
    </row>
    <row r="185" spans="1:4" ht="14.25" customHeight="1" outlineLevel="1" x14ac:dyDescent="0.2">
      <c r="A185" s="17" t="s">
        <v>0</v>
      </c>
      <c r="B185" s="18" t="s">
        <v>42</v>
      </c>
      <c r="C185" s="18" t="s">
        <v>43</v>
      </c>
      <c r="D185" s="19" t="s">
        <v>44</v>
      </c>
    </row>
    <row r="186" spans="1:4" ht="28.5" customHeight="1" outlineLevel="1" x14ac:dyDescent="0.2">
      <c r="A186" s="32" t="s">
        <v>45</v>
      </c>
      <c r="B186" s="33" t="s">
        <v>46</v>
      </c>
      <c r="C186" s="34" t="s">
        <v>50</v>
      </c>
      <c r="D186" s="22"/>
    </row>
    <row r="187" spans="1:4" ht="28.5" customHeight="1" outlineLevel="1" x14ac:dyDescent="0.2">
      <c r="A187" s="32" t="s">
        <v>48</v>
      </c>
      <c r="B187" s="33" t="s">
        <v>49</v>
      </c>
      <c r="C187" s="34" t="s">
        <v>50</v>
      </c>
      <c r="D187" s="22"/>
    </row>
    <row r="188" spans="1:4" ht="28.5" customHeight="1" outlineLevel="1" x14ac:dyDescent="0.2">
      <c r="A188" s="32" t="s">
        <v>51</v>
      </c>
      <c r="B188" s="33" t="s">
        <v>52</v>
      </c>
      <c r="C188" s="34" t="s">
        <v>50</v>
      </c>
      <c r="D188" s="22"/>
    </row>
    <row r="189" spans="1:4" ht="14.25" customHeight="1" outlineLevel="1" x14ac:dyDescent="0.2">
      <c r="A189" s="32" t="s">
        <v>53</v>
      </c>
      <c r="B189" s="33" t="s">
        <v>54</v>
      </c>
      <c r="C189" s="34" t="s">
        <v>50</v>
      </c>
      <c r="D189" s="22"/>
    </row>
    <row r="190" spans="1:4" ht="14.25" customHeight="1" outlineLevel="1" x14ac:dyDescent="0.2">
      <c r="A190" s="29" t="s">
        <v>55</v>
      </c>
      <c r="B190" s="35" t="s">
        <v>56</v>
      </c>
      <c r="C190" s="36" t="s">
        <v>50</v>
      </c>
      <c r="D190" s="27"/>
    </row>
    <row r="191" spans="1:4" ht="14.25" customHeight="1" outlineLevel="1" x14ac:dyDescent="0.2">
      <c r="A191" s="15"/>
      <c r="B191" s="37"/>
      <c r="C191" s="38"/>
      <c r="D191" s="38"/>
    </row>
    <row r="192" spans="1:4" ht="14.25" customHeight="1" outlineLevel="1" x14ac:dyDescent="0.2">
      <c r="A192" s="16" t="s">
        <v>57</v>
      </c>
      <c r="B192" s="39"/>
      <c r="C192" s="40"/>
      <c r="D192" s="40"/>
    </row>
    <row r="193" spans="1:4" ht="14.25" customHeight="1" outlineLevel="1" x14ac:dyDescent="0.2">
      <c r="A193" s="17" t="s">
        <v>37</v>
      </c>
      <c r="B193" s="41" t="s">
        <v>58</v>
      </c>
      <c r="C193" s="42" t="s">
        <v>59</v>
      </c>
      <c r="D193" s="19" t="s">
        <v>60</v>
      </c>
    </row>
    <row r="194" spans="1:4" ht="14.25" customHeight="1" outlineLevel="1" x14ac:dyDescent="0.2">
      <c r="A194" s="28"/>
      <c r="B194" s="21"/>
      <c r="C194" s="43"/>
      <c r="D194" s="44"/>
    </row>
    <row r="195" spans="1:4" ht="14.25" customHeight="1" outlineLevel="1" x14ac:dyDescent="0.2">
      <c r="A195" s="32"/>
      <c r="B195" s="78"/>
      <c r="C195" s="78"/>
      <c r="D195" s="45"/>
    </row>
    <row r="196" spans="1:4" ht="14.25" customHeight="1" x14ac:dyDescent="0.2">
      <c r="A196" s="29"/>
      <c r="B196" s="30"/>
      <c r="C196" s="30"/>
      <c r="D196" s="31"/>
    </row>
    <row r="197" spans="1:4" ht="18" customHeight="1" x14ac:dyDescent="0.2">
      <c r="A197" s="92" t="s">
        <v>68</v>
      </c>
      <c r="B197" s="90"/>
      <c r="C197" s="90"/>
      <c r="D197" s="91"/>
    </row>
    <row r="198" spans="1:4" ht="14.25" customHeight="1" outlineLevel="1" x14ac:dyDescent="0.2">
      <c r="A198" s="46"/>
      <c r="B198" s="46"/>
      <c r="C198" s="46"/>
      <c r="D198" s="46"/>
    </row>
    <row r="199" spans="1:4" ht="15" customHeight="1" outlineLevel="1" x14ac:dyDescent="0.2">
      <c r="A199" s="47" t="s">
        <v>62</v>
      </c>
      <c r="B199" s="47"/>
      <c r="C199" s="47"/>
      <c r="D199" s="85" t="s">
        <v>19</v>
      </c>
    </row>
    <row r="200" spans="1:4" ht="14.25" customHeight="1" outlineLevel="1" x14ac:dyDescent="0.2">
      <c r="A200" s="48" t="s">
        <v>20</v>
      </c>
      <c r="B200" s="49" t="s">
        <v>21</v>
      </c>
      <c r="C200" s="49" t="s">
        <v>22</v>
      </c>
      <c r="D200" s="50" t="s">
        <v>23</v>
      </c>
    </row>
    <row r="201" spans="1:4" ht="43.5" customHeight="1" outlineLevel="1" x14ac:dyDescent="0.2">
      <c r="A201" s="51" t="s">
        <v>28</v>
      </c>
      <c r="B201" s="52" t="s">
        <v>35</v>
      </c>
      <c r="C201" s="53" t="s">
        <v>34</v>
      </c>
      <c r="D201" s="54" t="s">
        <v>34</v>
      </c>
    </row>
    <row r="202" spans="1:4" ht="43.5" customHeight="1" outlineLevel="1" x14ac:dyDescent="0.2">
      <c r="A202" s="51"/>
      <c r="B202" s="52" t="s">
        <v>35</v>
      </c>
      <c r="C202" s="53" t="s">
        <v>34</v>
      </c>
      <c r="D202" s="54" t="s">
        <v>34</v>
      </c>
    </row>
    <row r="203" spans="1:4" ht="43.5" customHeight="1" outlineLevel="1" x14ac:dyDescent="0.2">
      <c r="A203" s="51"/>
      <c r="B203" s="52" t="s">
        <v>35</v>
      </c>
      <c r="C203" s="53" t="s">
        <v>34</v>
      </c>
      <c r="D203" s="54" t="s">
        <v>34</v>
      </c>
    </row>
    <row r="204" spans="1:4" ht="43.5" customHeight="1" outlineLevel="1" x14ac:dyDescent="0.2">
      <c r="A204" s="51"/>
      <c r="B204" s="52" t="s">
        <v>35</v>
      </c>
      <c r="C204" s="53" t="s">
        <v>34</v>
      </c>
      <c r="D204" s="54" t="s">
        <v>34</v>
      </c>
    </row>
    <row r="205" spans="1:4" ht="43.5" customHeight="1" outlineLevel="1" x14ac:dyDescent="0.2">
      <c r="A205" s="55"/>
      <c r="B205" s="56" t="s">
        <v>35</v>
      </c>
      <c r="C205" s="57" t="s">
        <v>34</v>
      </c>
      <c r="D205" s="58" t="s">
        <v>34</v>
      </c>
    </row>
    <row r="206" spans="1:4" ht="14.25" customHeight="1" outlineLevel="1" x14ac:dyDescent="0.2">
      <c r="A206" s="46"/>
      <c r="B206" s="46"/>
      <c r="C206" s="46"/>
      <c r="D206" s="46"/>
    </row>
    <row r="207" spans="1:4" ht="15" customHeight="1" outlineLevel="1" x14ac:dyDescent="0.2">
      <c r="A207" s="47" t="s">
        <v>36</v>
      </c>
      <c r="B207" s="47"/>
      <c r="C207" s="47"/>
      <c r="D207" s="47"/>
    </row>
    <row r="208" spans="1:4" ht="14.25" customHeight="1" outlineLevel="1" x14ac:dyDescent="0.2">
      <c r="A208" s="48" t="s">
        <v>37</v>
      </c>
      <c r="B208" s="49" t="s">
        <v>38</v>
      </c>
      <c r="C208" s="49" t="s">
        <v>39</v>
      </c>
      <c r="D208" s="50" t="s">
        <v>40</v>
      </c>
    </row>
    <row r="209" spans="1:4" ht="14.25" customHeight="1" outlineLevel="1" x14ac:dyDescent="0.2">
      <c r="A209" s="59"/>
      <c r="B209" s="53"/>
      <c r="C209" s="53"/>
      <c r="D209" s="54"/>
    </row>
    <row r="210" spans="1:4" ht="14.25" customHeight="1" outlineLevel="1" x14ac:dyDescent="0.2">
      <c r="A210" s="59"/>
      <c r="B210" s="53"/>
      <c r="C210" s="53"/>
      <c r="D210" s="54"/>
    </row>
    <row r="211" spans="1:4" ht="14.25" customHeight="1" outlineLevel="1" x14ac:dyDescent="0.2">
      <c r="A211" s="60"/>
      <c r="B211" s="61"/>
      <c r="C211" s="61"/>
      <c r="D211" s="62"/>
    </row>
    <row r="212" spans="1:4" ht="15" customHeight="1" outlineLevel="1" x14ac:dyDescent="0.2">
      <c r="A212" s="47" t="s">
        <v>41</v>
      </c>
      <c r="B212" s="47"/>
      <c r="C212" s="47"/>
      <c r="D212" s="47"/>
    </row>
    <row r="213" spans="1:4" ht="14.25" customHeight="1" outlineLevel="1" x14ac:dyDescent="0.2">
      <c r="A213" s="48" t="s">
        <v>0</v>
      </c>
      <c r="B213" s="49" t="s">
        <v>42</v>
      </c>
      <c r="C213" s="49" t="s">
        <v>43</v>
      </c>
      <c r="D213" s="50" t="s">
        <v>44</v>
      </c>
    </row>
    <row r="214" spans="1:4" ht="28.5" customHeight="1" outlineLevel="1" x14ac:dyDescent="0.2">
      <c r="A214" s="63" t="s">
        <v>45</v>
      </c>
      <c r="B214" s="64" t="s">
        <v>46</v>
      </c>
      <c r="C214" s="65" t="s">
        <v>50</v>
      </c>
      <c r="D214" s="54"/>
    </row>
    <row r="215" spans="1:4" ht="28.5" customHeight="1" outlineLevel="1" x14ac:dyDescent="0.2">
      <c r="A215" s="63" t="s">
        <v>48</v>
      </c>
      <c r="B215" s="64" t="s">
        <v>49</v>
      </c>
      <c r="C215" s="65" t="s">
        <v>50</v>
      </c>
      <c r="D215" s="54"/>
    </row>
    <row r="216" spans="1:4" ht="28.5" customHeight="1" outlineLevel="1" x14ac:dyDescent="0.2">
      <c r="A216" s="63" t="s">
        <v>51</v>
      </c>
      <c r="B216" s="64" t="s">
        <v>52</v>
      </c>
      <c r="C216" s="65" t="s">
        <v>50</v>
      </c>
      <c r="D216" s="54"/>
    </row>
    <row r="217" spans="1:4" ht="14.25" customHeight="1" outlineLevel="1" x14ac:dyDescent="0.2">
      <c r="A217" s="63" t="s">
        <v>53</v>
      </c>
      <c r="B217" s="64" t="s">
        <v>54</v>
      </c>
      <c r="C217" s="65" t="s">
        <v>50</v>
      </c>
      <c r="D217" s="54"/>
    </row>
    <row r="218" spans="1:4" ht="14.25" customHeight="1" outlineLevel="1" x14ac:dyDescent="0.2">
      <c r="A218" s="60" t="s">
        <v>55</v>
      </c>
      <c r="B218" s="66" t="s">
        <v>56</v>
      </c>
      <c r="C218" s="67" t="s">
        <v>50</v>
      </c>
      <c r="D218" s="58"/>
    </row>
    <row r="219" spans="1:4" ht="14.25" customHeight="1" outlineLevel="1" x14ac:dyDescent="0.2">
      <c r="A219" s="46"/>
      <c r="B219" s="68"/>
      <c r="C219" s="69"/>
      <c r="D219" s="69"/>
    </row>
    <row r="220" spans="1:4" ht="14.25" customHeight="1" outlineLevel="1" x14ac:dyDescent="0.2">
      <c r="A220" s="47" t="s">
        <v>57</v>
      </c>
      <c r="B220" s="70"/>
      <c r="C220" s="71"/>
      <c r="D220" s="71"/>
    </row>
    <row r="221" spans="1:4" ht="14.25" customHeight="1" outlineLevel="1" x14ac:dyDescent="0.2">
      <c r="A221" s="48" t="s">
        <v>37</v>
      </c>
      <c r="B221" s="72" t="s">
        <v>58</v>
      </c>
      <c r="C221" s="73" t="s">
        <v>59</v>
      </c>
      <c r="D221" s="50" t="s">
        <v>60</v>
      </c>
    </row>
    <row r="222" spans="1:4" ht="14.25" customHeight="1" outlineLevel="1" x14ac:dyDescent="0.2">
      <c r="A222" s="59"/>
      <c r="B222" s="53"/>
      <c r="C222" s="74"/>
      <c r="D222" s="75"/>
    </row>
    <row r="223" spans="1:4" ht="14.25" customHeight="1" x14ac:dyDescent="0.2">
      <c r="A223" s="79"/>
      <c r="B223" s="80"/>
      <c r="C223" s="80"/>
      <c r="D223" s="81"/>
    </row>
    <row r="224" spans="1:4" ht="14.25" customHeight="1" x14ac:dyDescent="0.2">
      <c r="A224" s="82"/>
      <c r="B224" s="83"/>
      <c r="C224" s="83"/>
      <c r="D224" s="84"/>
    </row>
  </sheetData>
  <mergeCells count="8">
    <mergeCell ref="A1:D1"/>
    <mergeCell ref="A197:D197"/>
    <mergeCell ref="A141:D141"/>
    <mergeCell ref="A29:D29"/>
    <mergeCell ref="A57:D57"/>
    <mergeCell ref="A113:D113"/>
    <mergeCell ref="A85:D85"/>
    <mergeCell ref="A169:D169"/>
  </mergeCells>
  <hyperlinks>
    <hyperlink ref="D3" r:id="rId1" xr:uid="{00000000-0004-0000-0100-000000000000}"/>
    <hyperlink ref="D31" r:id="rId2" xr:uid="{00000000-0004-0000-0100-000001000000}"/>
    <hyperlink ref="D59" r:id="rId3" xr:uid="{00000000-0004-0000-0100-000002000000}"/>
    <hyperlink ref="D87" r:id="rId4" xr:uid="{00000000-0004-0000-0100-000003000000}"/>
    <hyperlink ref="D115" r:id="rId5" xr:uid="{00000000-0004-0000-0100-000004000000}"/>
    <hyperlink ref="D143" r:id="rId6" xr:uid="{00000000-0004-0000-0100-000005000000}"/>
    <hyperlink ref="D171" r:id="rId7" xr:uid="{00000000-0004-0000-0100-000006000000}"/>
    <hyperlink ref="D199" r:id="rId8" xr:uid="{00000000-0004-0000-0100-000007000000}"/>
  </hyperlinks>
  <pageMargins left="0.7" right="0.7" top="0.75" bottom="0.75" header="0.511811023622047" footer="0.511811023622047"/>
  <pageSetup paperSize="9" orientation="portrait" horizontalDpi="300" verticalDpi="300"/>
  <tableParts count="32">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zoomScaleNormal="100" workbookViewId="0"/>
  </sheetViews>
  <sheetFormatPr baseColWidth="10" defaultColWidth="8.6640625" defaultRowHeight="15" x14ac:dyDescent="0.2"/>
  <sheetData>
    <row r="1" spans="1:2" ht="14.25" customHeight="1" x14ac:dyDescent="0.2">
      <c r="A1" t="s">
        <v>50</v>
      </c>
      <c r="B1" t="s">
        <v>28</v>
      </c>
    </row>
    <row r="2" spans="1:2" ht="14.25" customHeight="1" x14ac:dyDescent="0.2">
      <c r="A2" t="s">
        <v>69</v>
      </c>
      <c r="B2" t="s">
        <v>31</v>
      </c>
    </row>
    <row r="3" spans="1:2" ht="14.25" customHeight="1" x14ac:dyDescent="0.2">
      <c r="A3" t="s">
        <v>47</v>
      </c>
      <c r="B3" t="s">
        <v>24</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Dashboard</vt:lpstr>
      <vt:lpstr>Logboek</vt:lpstr>
      <vt:lpstr>Lijsten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Gert van Hardeveld</dc:creator>
  <cp:lastModifiedBy>Jasmijn Mesu (2102510)</cp:lastModifiedBy>
  <cp:revision>0</cp:revision>
  <dcterms:created xsi:type="dcterms:W3CDTF">2026-02-03T10:30:46Z</dcterms:created>
  <dcterms:modified xsi:type="dcterms:W3CDTF">2026-09-15T17:54:46Z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0x01010082751CA16B951342881103182431E377</vt:lpwstr>
  </property>
  <property fmtid="{D5CDD505-2E9C-101B-9397-08002B2CF9AE}" pid="3" name="MediaServiceImageTags">
    <vt:lpwstr/>
  </property>
</Properties>
</file>